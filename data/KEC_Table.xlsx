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Z:\업무자료실(윤태석)\00 내역서프로그램\web_kec_cable_calculator\data\"/>
    </mc:Choice>
  </mc:AlternateContent>
  <xr:revisionPtr revIDLastSave="0" documentId="13_ncr:1_{5B82F37F-2CF9-4E3B-BB73-6B16B3A45D56}" xr6:coauthVersionLast="47" xr6:coauthVersionMax="47" xr10:uidLastSave="{00000000-0000-0000-0000-000000000000}"/>
  <bookViews>
    <workbookView xWindow="-120" yWindow="-120" windowWidth="29040" windowHeight="15840" tabRatio="817" activeTab="3" xr2:uid="{AC531F24-1C8D-4371-836F-38D87657C46C}"/>
  </bookViews>
  <sheets>
    <sheet name="cable_spec" sheetId="256" r:id="rId1"/>
    <sheet name="conduit_spec" sheetId="239" r:id="rId2"/>
    <sheet name="permit_current" sheetId="240" r:id="rId3"/>
    <sheet name="cable_imp" sheetId="257" r:id="rId4"/>
    <sheet name="동작배율" sheetId="258" r:id="rId5"/>
    <sheet name="moter" sheetId="259" r:id="rId6"/>
    <sheet name="MCCB" sheetId="260" r:id="rId7"/>
    <sheet name="MCC" sheetId="245" state="hidden" r:id="rId8"/>
  </sheets>
  <definedNames>
    <definedName name="A11간선">permit_current!#REF!</definedName>
    <definedName name="A11분기선">permit_current!#REF!</definedName>
    <definedName name="A13간선">permit_current!#REF!</definedName>
    <definedName name="A13분기선">permit_current!#REF!</definedName>
    <definedName name="A21간선">permit_current!#REF!</definedName>
    <definedName name="A21분기선">permit_current!#REF!</definedName>
    <definedName name="A23간선">permit_current!#REF!</definedName>
    <definedName name="A23분기선">permit_current!#REF!</definedName>
    <definedName name="AF">MCC!#REF!</definedName>
    <definedName name="AFF">MCC!#REF!</definedName>
    <definedName name="AT">MCC!#REF!</definedName>
    <definedName name="ATT">MCC!#REF!</definedName>
    <definedName name="ATT내선규정">MCC!#REF!</definedName>
    <definedName name="B11간선">permit_current!#REF!</definedName>
    <definedName name="B11분기선">permit_current!#REF!</definedName>
    <definedName name="B13간선">permit_current!#REF!</definedName>
    <definedName name="B13분기선">permit_current!#REF!</definedName>
    <definedName name="B21간선">permit_current!#REF!</definedName>
    <definedName name="B21분기선">permit_current!#REF!</definedName>
    <definedName name="B23간선">permit_current!#REF!</definedName>
    <definedName name="B23분기선">permit_current!#REF!</definedName>
    <definedName name="CAB">#REF!</definedName>
    <definedName name="CAB_SPEC">cable_spec!$A$1:$D$413</definedName>
    <definedName name="CD">conduit_spec!$B$12:$C$16</definedName>
    <definedName name="CD_A">conduit_spec!$C$12:$C$16</definedName>
    <definedName name="COND">#REF!</definedName>
    <definedName name="CT">MCC!#REF!</definedName>
    <definedName name="D11간선">permit_current!#REF!</definedName>
    <definedName name="D11분기선">permit_current!#REF!</definedName>
    <definedName name="D13간선">permit_current!#REF!</definedName>
    <definedName name="D13분기선">permit_current!#REF!</definedName>
    <definedName name="D21간선">permit_current!#REF!</definedName>
    <definedName name="D21분기선">permit_current!#REF!</definedName>
    <definedName name="D23간선">permit_current!#REF!</definedName>
    <definedName name="D23분기선">permit_current!#REF!</definedName>
    <definedName name="DAT">MCC!$A$5:$AG$80</definedName>
    <definedName name="data">MCC!$A$5:$T$80</definedName>
    <definedName name="E1간선">permit_current!#REF!</definedName>
    <definedName name="E1분기선">permit_current!#REF!</definedName>
    <definedName name="E3간선">permit_current!#REF!</definedName>
    <definedName name="E3분기선">permit_current!#REF!</definedName>
    <definedName name="ELP">conduit_spec!$B$39:$C$47</definedName>
    <definedName name="ELP_A">conduit_spec!$C$39:$C$47</definedName>
    <definedName name="F1간선">permit_current!#REF!</definedName>
    <definedName name="F1분기선">permit_current!#REF!</definedName>
    <definedName name="F3간선">permit_current!#REF!</definedName>
    <definedName name="F3분기선">permit_current!#REF!</definedName>
    <definedName name="FLEX">conduit_spec!$B$27:$C$38</definedName>
    <definedName name="FLEX_A">conduit_spec!$C$27:$C$38</definedName>
    <definedName name="HI">conduit_spec!$B$2:$C$11</definedName>
    <definedName name="HI_A">conduit_spec!$C$2:$C$11</definedName>
    <definedName name="I">"TextBox 5"</definedName>
    <definedName name="IEC간선">permit_current!$A$2:$B$375</definedName>
    <definedName name="IEC분기선">permit_current!#REF!</definedName>
    <definedName name="PE">conduit_spec!$B$48:$C$56</definedName>
    <definedName name="PE_A">conduit_spec!$C$48:$C$56</definedName>
    <definedName name="PP2A">MCC!#REF!</definedName>
    <definedName name="PP4A">MCC!#REF!</definedName>
    <definedName name="_xlnm.Print_Area" localSheetId="0">cable_spec!$A$1:$C$413</definedName>
    <definedName name="_xlnm.Print_Area" localSheetId="1">conduit_spec!$A$1:$C$56</definedName>
    <definedName name="_xlnm.Print_Area" localSheetId="2">permit_current!$A$1:$Q$21</definedName>
    <definedName name="ST">conduit_spec!$B$17:$C$26</definedName>
    <definedName name="ST_A">conduit_spec!$C$17:$C$26</definedName>
    <definedName name="고효율2P">MCC!#REF!</definedName>
    <definedName name="고효율4P">MCC!#REF!</definedName>
    <definedName name="단면적B13">permit_current!#REF!</definedName>
    <definedName name="단면적B23">permit_current!#REF!</definedName>
    <definedName name="단면적D13">permit_current!#REF!</definedName>
    <definedName name="단면적D23">permit_current!#REF!</definedName>
    <definedName name="단면적E3">permit_current!#REF!</definedName>
    <definedName name="단면적F3">permit_current!#REF!</definedName>
    <definedName name="단면적전선관">#REF!</definedName>
    <definedName name="단면적접지선">#REF!</definedName>
    <definedName name="단면적케이블">#REF!</definedName>
    <definedName name="보호도체IEC">#REF!</definedName>
    <definedName name="선로정수LV">#REF!</definedName>
    <definedName name="전선관내단면적">conduit_spec!$B$1:$C$11</definedName>
    <definedName name="전선관종류">conduit_spec!$B$1:$C$1</definedName>
    <definedName name="접지선">#REF!</definedName>
    <definedName name="출력">MCC!#REF!</definedName>
    <definedName name="표준2P">MCC!#REF!</definedName>
    <definedName name="표준4P">MCC!#REF!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57" l="1"/>
  <c r="E19" i="257"/>
  <c r="E20" i="257"/>
  <c r="E21" i="257"/>
  <c r="E22" i="257"/>
  <c r="E23" i="257"/>
  <c r="E24" i="257"/>
  <c r="E25" i="257"/>
  <c r="E26" i="257"/>
  <c r="E27" i="257"/>
  <c r="E28" i="257"/>
  <c r="E29" i="257"/>
  <c r="E30" i="257"/>
  <c r="E31" i="257"/>
  <c r="E32" i="257"/>
  <c r="E33" i="257"/>
  <c r="E34" i="257"/>
  <c r="E35" i="257"/>
  <c r="E36" i="257"/>
  <c r="E37" i="257"/>
  <c r="E38" i="257"/>
  <c r="E39" i="257"/>
  <c r="E40" i="257"/>
  <c r="E41" i="257"/>
  <c r="E42" i="257"/>
  <c r="E43" i="257"/>
  <c r="E44" i="257"/>
  <c r="E45" i="257"/>
  <c r="E46" i="257"/>
  <c r="E47" i="257"/>
  <c r="E48" i="257"/>
  <c r="E49" i="257"/>
  <c r="E2" i="257"/>
  <c r="E3" i="257"/>
  <c r="E4" i="257"/>
  <c r="E5" i="257"/>
  <c r="E6" i="257"/>
  <c r="E7" i="257"/>
  <c r="E8" i="257"/>
  <c r="E9" i="257"/>
  <c r="E10" i="257"/>
  <c r="E11" i="257"/>
  <c r="E12" i="257"/>
  <c r="E13" i="257"/>
  <c r="E14" i="257"/>
  <c r="E15" i="257"/>
  <c r="E16" i="257"/>
  <c r="E17" i="257"/>
  <c r="D7" i="245" l="1"/>
  <c r="D9" i="245"/>
  <c r="D10" i="245"/>
  <c r="D12" i="245"/>
  <c r="D13" i="245"/>
  <c r="D14" i="245"/>
  <c r="D15" i="245"/>
  <c r="D16" i="245"/>
  <c r="D18" i="245"/>
  <c r="D19" i="245"/>
  <c r="D20" i="245"/>
  <c r="D21" i="245"/>
  <c r="D22" i="245"/>
  <c r="D24" i="245"/>
  <c r="D25" i="245"/>
  <c r="D26" i="245"/>
  <c r="D27" i="245"/>
  <c r="D28" i="245"/>
  <c r="D29" i="245"/>
  <c r="D30" i="245"/>
  <c r="D31" i="245"/>
  <c r="D32" i="245"/>
  <c r="D33" i="245"/>
  <c r="D34" i="245"/>
  <c r="D35" i="245"/>
  <c r="D36" i="245"/>
  <c r="D37" i="245"/>
  <c r="D39" i="245"/>
  <c r="D40" i="245"/>
  <c r="D41" i="245"/>
  <c r="D42" i="245"/>
  <c r="D43" i="245"/>
  <c r="D44" i="245"/>
  <c r="D45" i="245"/>
  <c r="D47" i="245"/>
  <c r="D48" i="245"/>
  <c r="D49" i="245"/>
  <c r="D50" i="245"/>
  <c r="D51" i="245"/>
  <c r="D53" i="245"/>
  <c r="D54" i="245"/>
  <c r="D55" i="245"/>
  <c r="D57" i="245"/>
  <c r="D58" i="245"/>
  <c r="D59" i="245"/>
  <c r="D60" i="245"/>
  <c r="D61" i="245"/>
  <c r="D62" i="245"/>
  <c r="D64" i="245"/>
  <c r="D65" i="245"/>
  <c r="D68" i="245"/>
  <c r="D69" i="245"/>
  <c r="D70" i="245"/>
</calcChain>
</file>

<file path=xl/sharedStrings.xml><?xml version="1.0" encoding="utf-8"?>
<sst xmlns="http://schemas.openxmlformats.org/spreadsheetml/2006/main" count="870" uniqueCount="498">
  <si>
    <t>-</t>
  </si>
  <si>
    <t>F</t>
    <phoneticPr fontId="8" type="noConversion"/>
  </si>
  <si>
    <t>E</t>
    <phoneticPr fontId="8" type="noConversion"/>
  </si>
  <si>
    <t>D2</t>
    <phoneticPr fontId="8" type="noConversion"/>
  </si>
  <si>
    <t>D1</t>
    <phoneticPr fontId="8" type="noConversion"/>
  </si>
  <si>
    <t>B2</t>
    <phoneticPr fontId="8" type="noConversion"/>
  </si>
  <si>
    <t>B1</t>
    <phoneticPr fontId="8" type="noConversion"/>
  </si>
  <si>
    <t>A2</t>
    <phoneticPr fontId="8" type="noConversion"/>
  </si>
  <si>
    <t>A1</t>
    <phoneticPr fontId="8" type="noConversion"/>
  </si>
  <si>
    <t>N</t>
    <phoneticPr fontId="3" type="noConversion"/>
  </si>
  <si>
    <t>30 ~ 360A</t>
    <phoneticPr fontId="3" type="noConversion"/>
  </si>
  <si>
    <t>500/5A</t>
    <phoneticPr fontId="3" type="noConversion"/>
  </si>
  <si>
    <t>500/7A</t>
    <phoneticPr fontId="3" type="noConversion"/>
  </si>
  <si>
    <t>400/6A</t>
    <phoneticPr fontId="3" type="noConversion"/>
  </si>
  <si>
    <t>300/5A</t>
    <phoneticPr fontId="3" type="noConversion"/>
  </si>
  <si>
    <t>20 ~ 240A</t>
    <phoneticPr fontId="3" type="noConversion"/>
  </si>
  <si>
    <t>200/5A</t>
  </si>
  <si>
    <t>150/5A</t>
  </si>
  <si>
    <t>10 ~ 120A</t>
    <phoneticPr fontId="3" type="noConversion"/>
  </si>
  <si>
    <t>100/5A</t>
  </si>
  <si>
    <t>5 ~ 60A</t>
  </si>
  <si>
    <t>75/5A</t>
    <phoneticPr fontId="3" type="noConversion"/>
  </si>
  <si>
    <t>60/5A</t>
  </si>
  <si>
    <t>-</t>
    <phoneticPr fontId="2" type="noConversion"/>
  </si>
  <si>
    <t>3 ~ 30A</t>
  </si>
  <si>
    <t>40/5A</t>
  </si>
  <si>
    <t>30/5A</t>
  </si>
  <si>
    <t>20/5A</t>
  </si>
  <si>
    <t>15/5A</t>
  </si>
  <si>
    <t>10/5A</t>
  </si>
  <si>
    <t>0.5 ~ 6A</t>
  </si>
  <si>
    <t>역율</t>
  </si>
  <si>
    <t>효율</t>
  </si>
  <si>
    <t>V(VVVF)</t>
    <phoneticPr fontId="3" type="noConversion"/>
  </si>
  <si>
    <t>S(VVCF)</t>
    <phoneticPr fontId="3" type="noConversion"/>
  </si>
  <si>
    <t>M(Reactor)</t>
    <phoneticPr fontId="3" type="noConversion"/>
  </si>
  <si>
    <t>C(Y-△)</t>
    <phoneticPr fontId="3" type="noConversion"/>
  </si>
  <si>
    <t>R</t>
    <phoneticPr fontId="3" type="noConversion"/>
  </si>
  <si>
    <t>F</t>
    <phoneticPr fontId="2" type="noConversion"/>
  </si>
  <si>
    <t>AT</t>
    <phoneticPr fontId="2" type="noConversion"/>
  </si>
  <si>
    <t>AF</t>
    <phoneticPr fontId="2" type="noConversion"/>
  </si>
  <si>
    <t>Unit Size (Relay반을 설치하는 경우)</t>
    <phoneticPr fontId="2" type="noConversion"/>
  </si>
  <si>
    <t>Unit Size (환경관리공단)</t>
    <phoneticPr fontId="2" type="noConversion"/>
  </si>
  <si>
    <t>접지</t>
    <phoneticPr fontId="2" type="noConversion"/>
  </si>
  <si>
    <t>CABLE SIZE</t>
  </si>
  <si>
    <t>Unit Size (Relay반을 설치하지 않는 일반적인 경우 적용)</t>
    <phoneticPr fontId="2" type="noConversion"/>
  </si>
  <si>
    <t>콘덴서</t>
  </si>
  <si>
    <t>EOCR</t>
  </si>
  <si>
    <t>CT비</t>
  </si>
  <si>
    <t>MCCB(Y-△기동)</t>
    <phoneticPr fontId="3" type="noConversion"/>
  </si>
  <si>
    <t>MCCB(직입)</t>
    <phoneticPr fontId="2" type="noConversion"/>
  </si>
  <si>
    <t>용량</t>
  </si>
  <si>
    <t>외경</t>
    <phoneticPr fontId="4" type="noConversion"/>
  </si>
  <si>
    <t>케이블</t>
    <phoneticPr fontId="4" type="noConversion"/>
  </si>
  <si>
    <t>호칭</t>
    <phoneticPr fontId="4" type="noConversion"/>
  </si>
  <si>
    <t>HI</t>
    <phoneticPr fontId="4" type="noConversion"/>
  </si>
  <si>
    <t>CD</t>
    <phoneticPr fontId="4" type="noConversion"/>
  </si>
  <si>
    <t>ST</t>
    <phoneticPr fontId="4" type="noConversion"/>
  </si>
  <si>
    <t>FLEX</t>
    <phoneticPr fontId="4" type="noConversion"/>
  </si>
  <si>
    <t>ELP</t>
    <phoneticPr fontId="4" type="noConversion"/>
  </si>
  <si>
    <t>PE</t>
    <phoneticPr fontId="4" type="noConversion"/>
  </si>
  <si>
    <t>내단면적</t>
    <phoneticPr fontId="1" type="noConversion"/>
  </si>
  <si>
    <t>정격전류
(규약전류)</t>
    <phoneticPr fontId="4" type="noConversion"/>
  </si>
  <si>
    <t>UTP CAT5E 4P</t>
    <phoneticPr fontId="4" type="noConversion"/>
  </si>
  <si>
    <t>UTP CAT5E 25P</t>
    <phoneticPr fontId="4" type="noConversion"/>
  </si>
  <si>
    <t>UTP CAT6 4P</t>
    <phoneticPr fontId="4" type="noConversion"/>
  </si>
  <si>
    <t>전선관</t>
    <phoneticPr fontId="4" type="noConversion"/>
  </si>
  <si>
    <t>공사방법</t>
    <phoneticPr fontId="4" type="noConversion"/>
  </si>
  <si>
    <t>상수</t>
    <phoneticPr fontId="4" type="noConversion"/>
  </si>
  <si>
    <t>단면적</t>
    <phoneticPr fontId="4" type="noConversion"/>
  </si>
  <si>
    <t>SIZE</t>
    <phoneticPr fontId="1" type="noConversion"/>
  </si>
  <si>
    <t>R(Ω/km)</t>
    <phoneticPr fontId="1" type="noConversion"/>
  </si>
  <si>
    <t>X(Ω/km)</t>
    <phoneticPr fontId="1" type="noConversion"/>
  </si>
  <si>
    <t>계산(COSθ=0.9)</t>
    <phoneticPr fontId="1" type="noConversion"/>
  </si>
  <si>
    <t>CABLE</t>
    <phoneticPr fontId="4" type="noConversion"/>
  </si>
  <si>
    <t>22.9KV-Y CN/CV 허용전류(LG)</t>
    <phoneticPr fontId="3" type="noConversion"/>
  </si>
  <si>
    <t>굵기</t>
    <phoneticPr fontId="3" type="noConversion"/>
  </si>
  <si>
    <t>허용전류</t>
    <phoneticPr fontId="3" type="noConversion"/>
  </si>
  <si>
    <t>3.3KV CV 허용전류(LG)</t>
    <phoneticPr fontId="3" type="noConversion"/>
  </si>
  <si>
    <t>1C</t>
    <phoneticPr fontId="12" type="noConversion"/>
  </si>
  <si>
    <t>3C</t>
    <phoneticPr fontId="12" type="noConversion"/>
  </si>
  <si>
    <t>3.3KV CV 허용전류(내선규정)</t>
    <phoneticPr fontId="3" type="noConversion"/>
  </si>
  <si>
    <t>AT</t>
  </si>
  <si>
    <t>MetaSol</t>
    <phoneticPr fontId="4" type="noConversion"/>
  </si>
  <si>
    <t>Susol</t>
    <phoneticPr fontId="4" type="noConversion"/>
  </si>
  <si>
    <t>HGM</t>
    <phoneticPr fontId="4" type="noConversion"/>
  </si>
  <si>
    <t>Maker</t>
    <phoneticPr fontId="4" type="noConversion"/>
  </si>
  <si>
    <t>출력</t>
  </si>
  <si>
    <t>복수회로</t>
    <phoneticPr fontId="8" type="noConversion"/>
  </si>
  <si>
    <t>공사방법</t>
    <phoneticPr fontId="8" type="noConversion"/>
  </si>
  <si>
    <t>사다리 TRAY</t>
    <phoneticPr fontId="8" type="noConversion"/>
  </si>
  <si>
    <t>(E,F)밀착</t>
    <phoneticPr fontId="8" type="noConversion"/>
  </si>
  <si>
    <t>지중덕트</t>
    <phoneticPr fontId="8" type="noConversion"/>
  </si>
  <si>
    <t>D2,단심,밀착</t>
    <phoneticPr fontId="8" type="noConversion"/>
  </si>
  <si>
    <t>D1,다심,밀착</t>
    <phoneticPr fontId="8" type="noConversion"/>
  </si>
  <si>
    <t>표준 4P</t>
    <phoneticPr fontId="4" type="noConversion"/>
  </si>
  <si>
    <t>극수</t>
    <phoneticPr fontId="4" type="noConversion"/>
  </si>
  <si>
    <t>◀</t>
    <phoneticPr fontId="4" type="noConversion"/>
  </si>
  <si>
    <t>오류수정</t>
    <phoneticPr fontId="4" type="noConversion"/>
  </si>
  <si>
    <t>F-CV 1.5SQ/1C</t>
    <phoneticPr fontId="4" type="noConversion"/>
  </si>
  <si>
    <t>F-CV 1.5SQ/2C</t>
    <phoneticPr fontId="4" type="noConversion"/>
  </si>
  <si>
    <t>F-CVV 1.5SQ/2C</t>
    <phoneticPr fontId="4" type="noConversion"/>
  </si>
  <si>
    <t>F-CVVS 1.5SQ/2C</t>
    <phoneticPr fontId="4" type="noConversion"/>
  </si>
  <si>
    <t>F-CVVSB 1.5SQ/2C</t>
    <phoneticPr fontId="4" type="noConversion"/>
  </si>
  <si>
    <t>F-FR3 1.5SQ/2C</t>
    <phoneticPr fontId="4" type="noConversion"/>
  </si>
  <si>
    <t>F-CV 1.5SQ/3C</t>
    <phoneticPr fontId="4" type="noConversion"/>
  </si>
  <si>
    <t>F-CVV 1.5SQ/3C</t>
    <phoneticPr fontId="4" type="noConversion"/>
  </si>
  <si>
    <t>F-CVVS 1.5SQ/3C</t>
    <phoneticPr fontId="4" type="noConversion"/>
  </si>
  <si>
    <t>F-CVVSB 1.5SQ/3C</t>
    <phoneticPr fontId="4" type="noConversion"/>
  </si>
  <si>
    <t>F-FR3 1.5SQ/3C</t>
    <phoneticPr fontId="4" type="noConversion"/>
  </si>
  <si>
    <t>F-CV 1.5SQ/4C</t>
    <phoneticPr fontId="4" type="noConversion"/>
  </si>
  <si>
    <t>F-CVV 1.5SQ/4C</t>
    <phoneticPr fontId="4" type="noConversion"/>
  </si>
  <si>
    <t>F-CVVS 1.5SQ/4C</t>
    <phoneticPr fontId="4" type="noConversion"/>
  </si>
  <si>
    <t>F-CVVSB 1.5SQ/4C</t>
    <phoneticPr fontId="4" type="noConversion"/>
  </si>
  <si>
    <t>F-FR3 1.5SQ/4C</t>
    <phoneticPr fontId="4" type="noConversion"/>
  </si>
  <si>
    <t>F-CVV 1.5SQ/5C</t>
    <phoneticPr fontId="4" type="noConversion"/>
  </si>
  <si>
    <t>F-CVVS 1.5SQ/5C</t>
    <phoneticPr fontId="4" type="noConversion"/>
  </si>
  <si>
    <t>F-CVVSB 1.5SQ/5C</t>
    <phoneticPr fontId="4" type="noConversion"/>
  </si>
  <si>
    <t>F-FR3 1.5SQ/5C</t>
    <phoneticPr fontId="4" type="noConversion"/>
  </si>
  <si>
    <t>F-CVV 1.5SQ/6C</t>
    <phoneticPr fontId="4" type="noConversion"/>
  </si>
  <si>
    <t>F-CVVS 1.5SQ/6C</t>
    <phoneticPr fontId="4" type="noConversion"/>
  </si>
  <si>
    <t>F-CVVSB 1.5SQ/6C</t>
    <phoneticPr fontId="4" type="noConversion"/>
  </si>
  <si>
    <t>F-FR3 1.5SQ/6C</t>
    <phoneticPr fontId="4" type="noConversion"/>
  </si>
  <si>
    <t>F-CVV 1.5SQ/7C</t>
    <phoneticPr fontId="4" type="noConversion"/>
  </si>
  <si>
    <t>F-CVVS 1.5SQ/7C</t>
    <phoneticPr fontId="4" type="noConversion"/>
  </si>
  <si>
    <t>F-CVVSB 1.5SQ/7C</t>
    <phoneticPr fontId="4" type="noConversion"/>
  </si>
  <si>
    <t>F-FR3 1.5SQ/7C</t>
    <phoneticPr fontId="4" type="noConversion"/>
  </si>
  <si>
    <t>F-CVV 1.5SQ/8C</t>
    <phoneticPr fontId="4" type="noConversion"/>
  </si>
  <si>
    <t>F-CVVS 1.5SQ/8C</t>
    <phoneticPr fontId="4" type="noConversion"/>
  </si>
  <si>
    <t>F-CVVSB 1.5SQ/8C</t>
    <phoneticPr fontId="4" type="noConversion"/>
  </si>
  <si>
    <t>F-FR3 1.5SQ/8C</t>
    <phoneticPr fontId="4" type="noConversion"/>
  </si>
  <si>
    <t>F-CVV 1.5SQ/10C</t>
    <phoneticPr fontId="4" type="noConversion"/>
  </si>
  <si>
    <t>F-CVVS 1.5SQ/10C</t>
    <phoneticPr fontId="4" type="noConversion"/>
  </si>
  <si>
    <t>F-CVVSB 1.5SQ/10C</t>
    <phoneticPr fontId="4" type="noConversion"/>
  </si>
  <si>
    <t>F-FR3 1.5SQ/10C</t>
    <phoneticPr fontId="4" type="noConversion"/>
  </si>
  <si>
    <t>F-CVV 1.5SQ/12C</t>
    <phoneticPr fontId="4" type="noConversion"/>
  </si>
  <si>
    <t>F-CVVS 1.5SQ/12C</t>
    <phoneticPr fontId="4" type="noConversion"/>
  </si>
  <si>
    <t>F-CVVSB 1.5SQ/12C</t>
    <phoneticPr fontId="4" type="noConversion"/>
  </si>
  <si>
    <t>F-FR3 1.5SQ/12C</t>
    <phoneticPr fontId="4" type="noConversion"/>
  </si>
  <si>
    <t>F-CVV 1.5SQ/15C</t>
    <phoneticPr fontId="4" type="noConversion"/>
  </si>
  <si>
    <t>F-CVVS 1.5SQ/15C</t>
    <phoneticPr fontId="4" type="noConversion"/>
  </si>
  <si>
    <t>F-CVVSB 1.5SQ/15C</t>
    <phoneticPr fontId="4" type="noConversion"/>
  </si>
  <si>
    <t>F-FR3 1.5SQ/15C</t>
    <phoneticPr fontId="4" type="noConversion"/>
  </si>
  <si>
    <t>F-CVV 1.5SQ/20C</t>
    <phoneticPr fontId="4" type="noConversion"/>
  </si>
  <si>
    <t>F-CVVS 1.5SQ/20C</t>
    <phoneticPr fontId="4" type="noConversion"/>
  </si>
  <si>
    <t>F-CVVSB 1.5SQ/20C</t>
    <phoneticPr fontId="4" type="noConversion"/>
  </si>
  <si>
    <t>F-FR3 1.5SQ/20C</t>
    <phoneticPr fontId="4" type="noConversion"/>
  </si>
  <si>
    <t>F-CVV 1.5SQ/30C</t>
    <phoneticPr fontId="4" type="noConversion"/>
  </si>
  <si>
    <t>F-CVVS 1.5SQ/30C</t>
    <phoneticPr fontId="4" type="noConversion"/>
  </si>
  <si>
    <t>F-CVVSB 1.5SQ/30C</t>
    <phoneticPr fontId="4" type="noConversion"/>
  </si>
  <si>
    <t>F-FR3 1.5SQ/30C</t>
    <phoneticPr fontId="4" type="noConversion"/>
  </si>
  <si>
    <t>F-GV 1.5SQ</t>
    <phoneticPr fontId="4" type="noConversion"/>
  </si>
  <si>
    <t>HFIX 1.5SQ</t>
    <phoneticPr fontId="4" type="noConversion"/>
  </si>
  <si>
    <t>F-CV 2.5SQ/1C</t>
    <phoneticPr fontId="4" type="noConversion"/>
  </si>
  <si>
    <t>FR-8 2.5SQ/1C</t>
    <phoneticPr fontId="4" type="noConversion"/>
  </si>
  <si>
    <t>F-CV 2.5SQ/2C</t>
    <phoneticPr fontId="4" type="noConversion"/>
  </si>
  <si>
    <t>F-CVV 2.5SQ/2C</t>
    <phoneticPr fontId="4" type="noConversion"/>
  </si>
  <si>
    <t>F-CVVS 2.5SQ/2C</t>
    <phoneticPr fontId="4" type="noConversion"/>
  </si>
  <si>
    <t>F-CVVSB 2.5SQ/2C</t>
    <phoneticPr fontId="4" type="noConversion"/>
  </si>
  <si>
    <t>F-FR3 2.5SQ/2C</t>
    <phoneticPr fontId="4" type="noConversion"/>
  </si>
  <si>
    <t>FR-8 2.5SQ/2C</t>
    <phoneticPr fontId="4" type="noConversion"/>
  </si>
  <si>
    <t>F-CV 2.5SQ/3C</t>
    <phoneticPr fontId="4" type="noConversion"/>
  </si>
  <si>
    <t>F-CVV 2.5SQ/3C</t>
    <phoneticPr fontId="4" type="noConversion"/>
  </si>
  <si>
    <t>F-CVVS 2.5SQ/3C</t>
    <phoneticPr fontId="4" type="noConversion"/>
  </si>
  <si>
    <t>F-CVVSB 2.5SQ/3C</t>
    <phoneticPr fontId="4" type="noConversion"/>
  </si>
  <si>
    <t>F-FR3 2.5SQ/3C</t>
    <phoneticPr fontId="4" type="noConversion"/>
  </si>
  <si>
    <t>FR-8 2.5SQ/3C</t>
    <phoneticPr fontId="4" type="noConversion"/>
  </si>
  <si>
    <t>F-CV 2.5SQ/4C</t>
    <phoneticPr fontId="4" type="noConversion"/>
  </si>
  <si>
    <t>F-CVV 2.5SQ/4C</t>
    <phoneticPr fontId="4" type="noConversion"/>
  </si>
  <si>
    <t>F-CVVS 2.5SQ/4C</t>
    <phoneticPr fontId="4" type="noConversion"/>
  </si>
  <si>
    <t>F-CVVSB 2.5SQ/4C</t>
    <phoneticPr fontId="4" type="noConversion"/>
  </si>
  <si>
    <t>F-FR3 2.5SQ/4C</t>
    <phoneticPr fontId="4" type="noConversion"/>
  </si>
  <si>
    <t>FR-8 2.5SQ/4C</t>
    <phoneticPr fontId="4" type="noConversion"/>
  </si>
  <si>
    <t>F-CVV 2.5SQ/5C</t>
    <phoneticPr fontId="4" type="noConversion"/>
  </si>
  <si>
    <t>F-CVVS 2.5SQ/5C</t>
    <phoneticPr fontId="4" type="noConversion"/>
  </si>
  <si>
    <t>F-CVVSB 2.5SQ/5C</t>
    <phoneticPr fontId="4" type="noConversion"/>
  </si>
  <si>
    <t>F-FR3 2.5SQ/5C</t>
    <phoneticPr fontId="4" type="noConversion"/>
  </si>
  <si>
    <t>F-CVV 2.5SQ/6C</t>
    <phoneticPr fontId="4" type="noConversion"/>
  </si>
  <si>
    <t>F-CVVS 2.5SQ/6C</t>
    <phoneticPr fontId="4" type="noConversion"/>
  </si>
  <si>
    <t>F-CVVSB 2.5SQ/6C</t>
    <phoneticPr fontId="4" type="noConversion"/>
  </si>
  <si>
    <t>F-FR3 2.5SQ/6C</t>
    <phoneticPr fontId="4" type="noConversion"/>
  </si>
  <si>
    <t>F-CVV 2.5SQ/7C</t>
    <phoneticPr fontId="4" type="noConversion"/>
  </si>
  <si>
    <t>F-CVVS 2.5SQ/7C</t>
    <phoneticPr fontId="4" type="noConversion"/>
  </si>
  <si>
    <t>F-CVVSB 2.5SQ/7C</t>
    <phoneticPr fontId="4" type="noConversion"/>
  </si>
  <si>
    <t>F-FR3 2.5SQ/7C</t>
    <phoneticPr fontId="4" type="noConversion"/>
  </si>
  <si>
    <t>F-CVV 2.5SQ/8C</t>
    <phoneticPr fontId="4" type="noConversion"/>
  </si>
  <si>
    <t>F-CVVS 2.5SQ/8C</t>
    <phoneticPr fontId="4" type="noConversion"/>
  </si>
  <si>
    <t>F-CVVSB 2.5SQ/8C</t>
    <phoneticPr fontId="4" type="noConversion"/>
  </si>
  <si>
    <t>F-FR3 2.5SQ/8C</t>
    <phoneticPr fontId="4" type="noConversion"/>
  </si>
  <si>
    <t>F-CVV 2.5SQ/10C</t>
    <phoneticPr fontId="4" type="noConversion"/>
  </si>
  <si>
    <t>F-CVVS 2.5SQ/10C</t>
    <phoneticPr fontId="4" type="noConversion"/>
  </si>
  <si>
    <t>F-CVVSB 2.5SQ/10C</t>
    <phoneticPr fontId="4" type="noConversion"/>
  </si>
  <si>
    <t>F-FR3 2.5SQ/10C</t>
    <phoneticPr fontId="4" type="noConversion"/>
  </si>
  <si>
    <t>F-CVV 2.5SQ/12C</t>
    <phoneticPr fontId="4" type="noConversion"/>
  </si>
  <si>
    <t>F-CVVS 2.5SQ/12C</t>
    <phoneticPr fontId="4" type="noConversion"/>
  </si>
  <si>
    <t>F-CVVSB 2.5SQ/12C</t>
    <phoneticPr fontId="4" type="noConversion"/>
  </si>
  <si>
    <t>F-FR3 2.5SQ/12C</t>
    <phoneticPr fontId="4" type="noConversion"/>
  </si>
  <si>
    <t>F-CVV 2.5SQ/15C</t>
    <phoneticPr fontId="4" type="noConversion"/>
  </si>
  <si>
    <t>F-CVVS 2.5SQ/15C</t>
    <phoneticPr fontId="4" type="noConversion"/>
  </si>
  <si>
    <t>F-CVVSB 2.5SQ/15C</t>
    <phoneticPr fontId="4" type="noConversion"/>
  </si>
  <si>
    <t>F-FR3 2.5SQ/15C</t>
    <phoneticPr fontId="4" type="noConversion"/>
  </si>
  <si>
    <t>F-CVV 2.5SQ/20C</t>
    <phoneticPr fontId="4" type="noConversion"/>
  </si>
  <si>
    <t>F-CVVS 2.5SQ/20C</t>
    <phoneticPr fontId="4" type="noConversion"/>
  </si>
  <si>
    <t>F-CVVSB 2.5SQ/20C</t>
    <phoneticPr fontId="4" type="noConversion"/>
  </si>
  <si>
    <t>F-FR3 2.5SQ/20C</t>
    <phoneticPr fontId="4" type="noConversion"/>
  </si>
  <si>
    <t>F-CVV 2.5SQ/30C</t>
    <phoneticPr fontId="4" type="noConversion"/>
  </si>
  <si>
    <t>F-CVVS 2.5SQ/30C</t>
    <phoneticPr fontId="4" type="noConversion"/>
  </si>
  <si>
    <t>F-CVVSB 2.5SQ/30C</t>
    <phoneticPr fontId="4" type="noConversion"/>
  </si>
  <si>
    <t>F-FR3 2.5SQ/30C</t>
    <phoneticPr fontId="4" type="noConversion"/>
  </si>
  <si>
    <t>F-GV 2.5SQ</t>
    <phoneticPr fontId="4" type="noConversion"/>
  </si>
  <si>
    <t>HFIX 2.5SQ</t>
    <phoneticPr fontId="4" type="noConversion"/>
  </si>
  <si>
    <t>F-CV 4SQ/1C</t>
    <phoneticPr fontId="4" type="noConversion"/>
  </si>
  <si>
    <t>FR-8 4SQ/1C</t>
    <phoneticPr fontId="4" type="noConversion"/>
  </si>
  <si>
    <t>F-CV 4SQ/2C</t>
    <phoneticPr fontId="4" type="noConversion"/>
  </si>
  <si>
    <t>F-CVV 4SQ/2C</t>
    <phoneticPr fontId="4" type="noConversion"/>
  </si>
  <si>
    <t>F-CVVS 4SQ/2C</t>
    <phoneticPr fontId="4" type="noConversion"/>
  </si>
  <si>
    <t>F-CVVSB 4SQ/2C</t>
    <phoneticPr fontId="4" type="noConversion"/>
  </si>
  <si>
    <t>F-FR3 4SQ/2C</t>
    <phoneticPr fontId="4" type="noConversion"/>
  </si>
  <si>
    <t>FR-8 4SQ/2C</t>
    <phoneticPr fontId="4" type="noConversion"/>
  </si>
  <si>
    <t>F-CV 4SQ/3C</t>
    <phoneticPr fontId="4" type="noConversion"/>
  </si>
  <si>
    <t>F-CVV 4SQ/3C</t>
    <phoneticPr fontId="4" type="noConversion"/>
  </si>
  <si>
    <t>F-CVVS 4SQ/3C</t>
    <phoneticPr fontId="4" type="noConversion"/>
  </si>
  <si>
    <t>F-CVVSB 4SQ/3C</t>
    <phoneticPr fontId="4" type="noConversion"/>
  </si>
  <si>
    <t>F-FR3 4SQ/3C</t>
    <phoneticPr fontId="4" type="noConversion"/>
  </si>
  <si>
    <t>FR-8 4SQ/3C</t>
    <phoneticPr fontId="4" type="noConversion"/>
  </si>
  <si>
    <t>F-CV 4SQ/4C</t>
    <phoneticPr fontId="4" type="noConversion"/>
  </si>
  <si>
    <t>F-CVV 4SQ/4C</t>
    <phoneticPr fontId="4" type="noConversion"/>
  </si>
  <si>
    <t>F-CVVS 4SQ/4C</t>
    <phoneticPr fontId="4" type="noConversion"/>
  </si>
  <si>
    <t>F-CVVSB 4SQ/4C</t>
    <phoneticPr fontId="4" type="noConversion"/>
  </si>
  <si>
    <t>F-FR3 4SQ/4C</t>
    <phoneticPr fontId="4" type="noConversion"/>
  </si>
  <si>
    <t>FR-8 4SQ/4C</t>
    <phoneticPr fontId="4" type="noConversion"/>
  </si>
  <si>
    <t>F-CVV 4SQ/5C</t>
    <phoneticPr fontId="4" type="noConversion"/>
  </si>
  <si>
    <t>F-CVVS 4SQ/5C</t>
    <phoneticPr fontId="4" type="noConversion"/>
  </si>
  <si>
    <t>F-CVVSB 4SQ/5C</t>
    <phoneticPr fontId="4" type="noConversion"/>
  </si>
  <si>
    <t>F-FR3 4SQ/5C</t>
    <phoneticPr fontId="4" type="noConversion"/>
  </si>
  <si>
    <t>F-CVV 4SQ/6C</t>
    <phoneticPr fontId="4" type="noConversion"/>
  </si>
  <si>
    <t>F-CVVS 4SQ/6C</t>
    <phoneticPr fontId="4" type="noConversion"/>
  </si>
  <si>
    <t>F-CVVSB 4SQ/6C</t>
    <phoneticPr fontId="4" type="noConversion"/>
  </si>
  <si>
    <t>F-FR3 4SQ/6C</t>
    <phoneticPr fontId="4" type="noConversion"/>
  </si>
  <si>
    <t>F-CVV 4SQ/7C</t>
    <phoneticPr fontId="4" type="noConversion"/>
  </si>
  <si>
    <t>F-CVVS 4SQ/7C</t>
    <phoneticPr fontId="4" type="noConversion"/>
  </si>
  <si>
    <t>F-CVVSB 4SQ/7C</t>
    <phoneticPr fontId="4" type="noConversion"/>
  </si>
  <si>
    <t>F-FR3 4SQ/7C</t>
    <phoneticPr fontId="4" type="noConversion"/>
  </si>
  <si>
    <t>F-CVV 4SQ/8C</t>
    <phoneticPr fontId="4" type="noConversion"/>
  </si>
  <si>
    <t>F-CVVS 4SQ/8C</t>
    <phoneticPr fontId="4" type="noConversion"/>
  </si>
  <si>
    <t>F-CVVSB 4SQ/8C</t>
    <phoneticPr fontId="4" type="noConversion"/>
  </si>
  <si>
    <t>F-FR3 4SQ/8C</t>
    <phoneticPr fontId="4" type="noConversion"/>
  </si>
  <si>
    <t>F-CVV 4SQ/10C</t>
    <phoneticPr fontId="4" type="noConversion"/>
  </si>
  <si>
    <t>F-CVVS 4SQ/10C</t>
    <phoneticPr fontId="4" type="noConversion"/>
  </si>
  <si>
    <t>F-CVVSB 4SQ/10C</t>
    <phoneticPr fontId="4" type="noConversion"/>
  </si>
  <si>
    <t>F-FR3 4SQ/10C</t>
    <phoneticPr fontId="4" type="noConversion"/>
  </si>
  <si>
    <t>F-CVV 4SQ/12C</t>
    <phoneticPr fontId="4" type="noConversion"/>
  </si>
  <si>
    <t>F-CVVS 4SQ/12C</t>
    <phoneticPr fontId="4" type="noConversion"/>
  </si>
  <si>
    <t>F-CVVSB 4SQ/12C</t>
    <phoneticPr fontId="4" type="noConversion"/>
  </si>
  <si>
    <t>F-FR3 4SQ/12C</t>
    <phoneticPr fontId="4" type="noConversion"/>
  </si>
  <si>
    <t>F-CVV 4SQ/15C</t>
    <phoneticPr fontId="4" type="noConversion"/>
  </si>
  <si>
    <t>F-CVVS 4SQ/15C</t>
    <phoneticPr fontId="4" type="noConversion"/>
  </si>
  <si>
    <t>F-CVVSB 4SQ/15C</t>
    <phoneticPr fontId="4" type="noConversion"/>
  </si>
  <si>
    <t>F-FR3 4SQ/15C</t>
    <phoneticPr fontId="4" type="noConversion"/>
  </si>
  <si>
    <t>F-CVV 4SQ/20C</t>
    <phoneticPr fontId="4" type="noConversion"/>
  </si>
  <si>
    <t>F-CVVS 4SQ/20C</t>
    <phoneticPr fontId="4" type="noConversion"/>
  </si>
  <si>
    <t>F-CVVSB 4SQ/20C</t>
    <phoneticPr fontId="4" type="noConversion"/>
  </si>
  <si>
    <t>F-FR3 4SQ/20C</t>
    <phoneticPr fontId="4" type="noConversion"/>
  </si>
  <si>
    <t>F-CVV 4SQ/30C</t>
    <phoneticPr fontId="4" type="noConversion"/>
  </si>
  <si>
    <t>F-CVVS 4SQ/30C</t>
    <phoneticPr fontId="4" type="noConversion"/>
  </si>
  <si>
    <t>F-CVVSB 4SQ/30C</t>
    <phoneticPr fontId="4" type="noConversion"/>
  </si>
  <si>
    <t>F-FR3 4SQ/30C</t>
    <phoneticPr fontId="4" type="noConversion"/>
  </si>
  <si>
    <t>F-GV 4SQ</t>
    <phoneticPr fontId="4" type="noConversion"/>
  </si>
  <si>
    <t>HFIX 4SQ</t>
    <phoneticPr fontId="4" type="noConversion"/>
  </si>
  <si>
    <t>F-CV 6SQ/1C</t>
    <phoneticPr fontId="4" type="noConversion"/>
  </si>
  <si>
    <t>FR-8 6SQ/1C</t>
    <phoneticPr fontId="4" type="noConversion"/>
  </si>
  <si>
    <t>F-CV 6SQ/2C</t>
    <phoneticPr fontId="4" type="noConversion"/>
  </si>
  <si>
    <t>F-CVV 6SQ/2C</t>
    <phoneticPr fontId="4" type="noConversion"/>
  </si>
  <si>
    <t>F-CVVS 6SQ/2C</t>
    <phoneticPr fontId="4" type="noConversion"/>
  </si>
  <si>
    <t>F-CVVSB 6SQ/2C</t>
    <phoneticPr fontId="4" type="noConversion"/>
  </si>
  <si>
    <t>FR-8 6SQ/2C</t>
    <phoneticPr fontId="4" type="noConversion"/>
  </si>
  <si>
    <t>F-CV 6SQ/3C</t>
    <phoneticPr fontId="4" type="noConversion"/>
  </si>
  <si>
    <t>F-CVV 6SQ/3C</t>
    <phoneticPr fontId="4" type="noConversion"/>
  </si>
  <si>
    <t>F-CVVS 6SQ/3C</t>
    <phoneticPr fontId="4" type="noConversion"/>
  </si>
  <si>
    <t>F-CVVSB 6SQ/3C</t>
    <phoneticPr fontId="4" type="noConversion"/>
  </si>
  <si>
    <t>FR-8 6SQ/3C</t>
    <phoneticPr fontId="4" type="noConversion"/>
  </si>
  <si>
    <t>F-CV 6SQ/4C</t>
    <phoneticPr fontId="4" type="noConversion"/>
  </si>
  <si>
    <t>F-CVV 6SQ/4C</t>
    <phoneticPr fontId="4" type="noConversion"/>
  </si>
  <si>
    <t>F-CVVS 6SQ/4C</t>
    <phoneticPr fontId="4" type="noConversion"/>
  </si>
  <si>
    <t>F-CVVSB 6SQ/4C</t>
    <phoneticPr fontId="4" type="noConversion"/>
  </si>
  <si>
    <t>FR-8 6SQ/4C</t>
    <phoneticPr fontId="4" type="noConversion"/>
  </si>
  <si>
    <t>F-CVV 6SQ/5C</t>
    <phoneticPr fontId="4" type="noConversion"/>
  </si>
  <si>
    <t>F-CVVS 6SQ/5C</t>
    <phoneticPr fontId="4" type="noConversion"/>
  </si>
  <si>
    <t>F-CVVSB 6SQ/5C</t>
    <phoneticPr fontId="4" type="noConversion"/>
  </si>
  <si>
    <t>F-CVV 6SQ/6C</t>
    <phoneticPr fontId="4" type="noConversion"/>
  </si>
  <si>
    <t>F-CVVS 6SQ/6C</t>
    <phoneticPr fontId="4" type="noConversion"/>
  </si>
  <si>
    <t>F-CVVSB 6SQ/6C</t>
    <phoneticPr fontId="4" type="noConversion"/>
  </si>
  <si>
    <t>F-CVV 6SQ/7C</t>
    <phoneticPr fontId="4" type="noConversion"/>
  </si>
  <si>
    <t>F-CVVS 6SQ/7C</t>
    <phoneticPr fontId="4" type="noConversion"/>
  </si>
  <si>
    <t>F-CVVSB 6SQ/7C</t>
    <phoneticPr fontId="4" type="noConversion"/>
  </si>
  <si>
    <t>F-CVV 6SQ/8C</t>
    <phoneticPr fontId="4" type="noConversion"/>
  </si>
  <si>
    <t>F-CVVS 6SQ/8C</t>
    <phoneticPr fontId="4" type="noConversion"/>
  </si>
  <si>
    <t>F-CVVSB 6SQ/8C</t>
    <phoneticPr fontId="4" type="noConversion"/>
  </si>
  <si>
    <t>F-CVV 6SQ/10C</t>
    <phoneticPr fontId="4" type="noConversion"/>
  </si>
  <si>
    <t>F-CVVS 6SQ/10C</t>
    <phoneticPr fontId="4" type="noConversion"/>
  </si>
  <si>
    <t>F-CVVSB 6SQ/10C</t>
    <phoneticPr fontId="4" type="noConversion"/>
  </si>
  <si>
    <t>F-CVV 6SQ/12C</t>
    <phoneticPr fontId="4" type="noConversion"/>
  </si>
  <si>
    <t>F-CVVS 6SQ/12C</t>
    <phoneticPr fontId="4" type="noConversion"/>
  </si>
  <si>
    <t>F-CVVSB 6SQ/12C</t>
    <phoneticPr fontId="4" type="noConversion"/>
  </si>
  <si>
    <t>F-CVV 6SQ/15C</t>
    <phoneticPr fontId="4" type="noConversion"/>
  </si>
  <si>
    <t>F-CVVS 6SQ/15C</t>
    <phoneticPr fontId="4" type="noConversion"/>
  </si>
  <si>
    <t>F-CVVSB 6SQ/15C</t>
    <phoneticPr fontId="4" type="noConversion"/>
  </si>
  <si>
    <t>F-CVV 6SQ/20C</t>
    <phoneticPr fontId="4" type="noConversion"/>
  </si>
  <si>
    <t>F-CVVS 6SQ/20C</t>
    <phoneticPr fontId="4" type="noConversion"/>
  </si>
  <si>
    <t>F-CVVSB 6SQ/20C</t>
    <phoneticPr fontId="4" type="noConversion"/>
  </si>
  <si>
    <t>F-CVV 6SQ/30C</t>
    <phoneticPr fontId="4" type="noConversion"/>
  </si>
  <si>
    <t>F-CVVS 6SQ/30C</t>
    <phoneticPr fontId="4" type="noConversion"/>
  </si>
  <si>
    <t>F-CVVSB 6SQ/30C</t>
    <phoneticPr fontId="4" type="noConversion"/>
  </si>
  <si>
    <t>F-GV 6SQ</t>
    <phoneticPr fontId="4" type="noConversion"/>
  </si>
  <si>
    <t>HFIX 6SQ</t>
    <phoneticPr fontId="4" type="noConversion"/>
  </si>
  <si>
    <t>F-CV 10SQ/1C</t>
    <phoneticPr fontId="4" type="noConversion"/>
  </si>
  <si>
    <t>FR-8 10SQ/1C</t>
    <phoneticPr fontId="4" type="noConversion"/>
  </si>
  <si>
    <t>F-CV 10SQ/2C</t>
    <phoneticPr fontId="4" type="noConversion"/>
  </si>
  <si>
    <t>F-CVV 10SQ/2C</t>
    <phoneticPr fontId="4" type="noConversion"/>
  </si>
  <si>
    <t>F-CVVS 10SQ/2C</t>
    <phoneticPr fontId="4" type="noConversion"/>
  </si>
  <si>
    <t>F-CVVSB 10SQ/2C</t>
    <phoneticPr fontId="4" type="noConversion"/>
  </si>
  <si>
    <t>FR-8 10SQ/2C</t>
    <phoneticPr fontId="4" type="noConversion"/>
  </si>
  <si>
    <t>F-CV 10SQ/3C</t>
    <phoneticPr fontId="4" type="noConversion"/>
  </si>
  <si>
    <t>F-CVV 10SQ/3C</t>
    <phoneticPr fontId="4" type="noConversion"/>
  </si>
  <si>
    <t>F-CVVS 10SQ/3C</t>
    <phoneticPr fontId="4" type="noConversion"/>
  </si>
  <si>
    <t>F-CVVSB 10SQ/3C</t>
    <phoneticPr fontId="4" type="noConversion"/>
  </si>
  <si>
    <t>FR-8 10SQ/3C</t>
    <phoneticPr fontId="4" type="noConversion"/>
  </si>
  <si>
    <t>F-CV 10SQ/4C</t>
    <phoneticPr fontId="4" type="noConversion"/>
  </si>
  <si>
    <t>F-CVV 10SQ/4C</t>
    <phoneticPr fontId="4" type="noConversion"/>
  </si>
  <si>
    <t>F-CVVS 10SQ/4C</t>
    <phoneticPr fontId="4" type="noConversion"/>
  </si>
  <si>
    <t>F-CVVSB 10SQ/4C</t>
    <phoneticPr fontId="4" type="noConversion"/>
  </si>
  <si>
    <t>FR-8 10SQ/4C</t>
    <phoneticPr fontId="4" type="noConversion"/>
  </si>
  <si>
    <t>F-CVV 10SQ/5C</t>
    <phoneticPr fontId="4" type="noConversion"/>
  </si>
  <si>
    <t>F-CVVS 10SQ/5C</t>
    <phoneticPr fontId="4" type="noConversion"/>
  </si>
  <si>
    <t>F-CVVSB 10SQ/5C</t>
    <phoneticPr fontId="4" type="noConversion"/>
  </si>
  <si>
    <t>F-CVV 10SQ/6C</t>
    <phoneticPr fontId="4" type="noConversion"/>
  </si>
  <si>
    <t>F-CVVS 10SQ/6C</t>
    <phoneticPr fontId="4" type="noConversion"/>
  </si>
  <si>
    <t>F-CVVSB 10SQ/6C</t>
    <phoneticPr fontId="4" type="noConversion"/>
  </si>
  <si>
    <t>F-CVV 10SQ/7C</t>
    <phoneticPr fontId="4" type="noConversion"/>
  </si>
  <si>
    <t>F-CVVS 10SQ/7C</t>
    <phoneticPr fontId="4" type="noConversion"/>
  </si>
  <si>
    <t>F-CVVSB 10SQ/7C</t>
    <phoneticPr fontId="4" type="noConversion"/>
  </si>
  <si>
    <t>F-CVV 10SQ/8C</t>
    <phoneticPr fontId="4" type="noConversion"/>
  </si>
  <si>
    <t>F-CVVS 10SQ/8C</t>
    <phoneticPr fontId="4" type="noConversion"/>
  </si>
  <si>
    <t>F-CVVSB 10SQ/8C</t>
    <phoneticPr fontId="4" type="noConversion"/>
  </si>
  <si>
    <t>F-CVV 10SQ/10C</t>
    <phoneticPr fontId="4" type="noConversion"/>
  </si>
  <si>
    <t>F-CVVS 10SQ/10C</t>
    <phoneticPr fontId="4" type="noConversion"/>
  </si>
  <si>
    <t>F-CVVSB 10SQ/10C</t>
    <phoneticPr fontId="4" type="noConversion"/>
  </si>
  <si>
    <t>F-CVV 10SQ/12C</t>
    <phoneticPr fontId="4" type="noConversion"/>
  </si>
  <si>
    <t>F-CVVS 10SQ/12C</t>
    <phoneticPr fontId="4" type="noConversion"/>
  </si>
  <si>
    <t>F-CVVSB 10SQ/12C</t>
    <phoneticPr fontId="4" type="noConversion"/>
  </si>
  <si>
    <t>F-CVV 10SQ/15C</t>
    <phoneticPr fontId="4" type="noConversion"/>
  </si>
  <si>
    <t>F-CVVS 10SQ/15C</t>
    <phoneticPr fontId="4" type="noConversion"/>
  </si>
  <si>
    <t>F-CVVSB 10SQ/15C</t>
    <phoneticPr fontId="4" type="noConversion"/>
  </si>
  <si>
    <t>F-CVV 10SQ/20C</t>
    <phoneticPr fontId="4" type="noConversion"/>
  </si>
  <si>
    <t>F-CVVS 10SQ/20C</t>
    <phoneticPr fontId="4" type="noConversion"/>
  </si>
  <si>
    <t>F-CVVSB 10SQ/20C</t>
    <phoneticPr fontId="4" type="noConversion"/>
  </si>
  <si>
    <t>F-CVV 10SQ/30C</t>
    <phoneticPr fontId="4" type="noConversion"/>
  </si>
  <si>
    <t>F-CVVS 10SQ/30C</t>
    <phoneticPr fontId="4" type="noConversion"/>
  </si>
  <si>
    <t>F-CVVSB 10SQ/30C</t>
    <phoneticPr fontId="4" type="noConversion"/>
  </si>
  <si>
    <t>F-GV 10SQ</t>
    <phoneticPr fontId="4" type="noConversion"/>
  </si>
  <si>
    <t>HFIX 10SQ</t>
    <phoneticPr fontId="4" type="noConversion"/>
  </si>
  <si>
    <t>F-CV 16SQ/1C</t>
    <phoneticPr fontId="4" type="noConversion"/>
  </si>
  <si>
    <t>FR-8 16SQ/1C</t>
    <phoneticPr fontId="4" type="noConversion"/>
  </si>
  <si>
    <t>F-CV 16SQ/2C</t>
    <phoneticPr fontId="4" type="noConversion"/>
  </si>
  <si>
    <t>FR-8 16SQ/2C</t>
    <phoneticPr fontId="4" type="noConversion"/>
  </si>
  <si>
    <t>F-CV 16SQ/3C</t>
    <phoneticPr fontId="4" type="noConversion"/>
  </si>
  <si>
    <t>FR-8 16SQ/3C</t>
    <phoneticPr fontId="4" type="noConversion"/>
  </si>
  <si>
    <t>F-CV 16SQ/4C</t>
    <phoneticPr fontId="4" type="noConversion"/>
  </si>
  <si>
    <t>FR-8 16SQ/4C</t>
    <phoneticPr fontId="4" type="noConversion"/>
  </si>
  <si>
    <t>F-GV 16SQ</t>
    <phoneticPr fontId="4" type="noConversion"/>
  </si>
  <si>
    <t>HFIX 16SQ</t>
    <phoneticPr fontId="4" type="noConversion"/>
  </si>
  <si>
    <t>F-CV 25SQ/1C</t>
    <phoneticPr fontId="4" type="noConversion"/>
  </si>
  <si>
    <t>FR-8 25SQ/1C</t>
    <phoneticPr fontId="4" type="noConversion"/>
  </si>
  <si>
    <t>F-CV 25SQ/2C</t>
    <phoneticPr fontId="4" type="noConversion"/>
  </si>
  <si>
    <t>FR-8 25SQ/2C</t>
    <phoneticPr fontId="4" type="noConversion"/>
  </si>
  <si>
    <t>F-CV 25SQ/3C</t>
    <phoneticPr fontId="4" type="noConversion"/>
  </si>
  <si>
    <t>FR-8 25SQ/3C</t>
    <phoneticPr fontId="4" type="noConversion"/>
  </si>
  <si>
    <t>F-CV 25SQ/4C</t>
    <phoneticPr fontId="4" type="noConversion"/>
  </si>
  <si>
    <t>FR-8 25SQ/4C</t>
    <phoneticPr fontId="4" type="noConversion"/>
  </si>
  <si>
    <t>F-GV 25SQ</t>
    <phoneticPr fontId="4" type="noConversion"/>
  </si>
  <si>
    <t>HFIX 25SQ</t>
    <phoneticPr fontId="4" type="noConversion"/>
  </si>
  <si>
    <t>F-CV 35SQ/1C</t>
    <phoneticPr fontId="4" type="noConversion"/>
  </si>
  <si>
    <t>FR-8 35SQ/1C</t>
    <phoneticPr fontId="4" type="noConversion"/>
  </si>
  <si>
    <t>F-CV 35SQ/2C</t>
    <phoneticPr fontId="4" type="noConversion"/>
  </si>
  <si>
    <t>FR-8 35SQ/2C</t>
    <phoneticPr fontId="4" type="noConversion"/>
  </si>
  <si>
    <t>F-CV 35SQ/3C</t>
    <phoneticPr fontId="4" type="noConversion"/>
  </si>
  <si>
    <t>FR-8 35SQ/3C</t>
    <phoneticPr fontId="4" type="noConversion"/>
  </si>
  <si>
    <t>F-CV 35SQ/4C</t>
    <phoneticPr fontId="4" type="noConversion"/>
  </si>
  <si>
    <t>FR-8 35SQ/4C</t>
    <phoneticPr fontId="4" type="noConversion"/>
  </si>
  <si>
    <t>F-GV 35SQ</t>
    <phoneticPr fontId="4" type="noConversion"/>
  </si>
  <si>
    <t>HFIX 35SQ</t>
    <phoneticPr fontId="4" type="noConversion"/>
  </si>
  <si>
    <t>F-CV 50SQ/1C</t>
    <phoneticPr fontId="4" type="noConversion"/>
  </si>
  <si>
    <t>FR-8 50SQ/1C</t>
    <phoneticPr fontId="4" type="noConversion"/>
  </si>
  <si>
    <t>F-CV 50SQ/2C</t>
    <phoneticPr fontId="4" type="noConversion"/>
  </si>
  <si>
    <t>FR-8 50SQ/2C</t>
    <phoneticPr fontId="4" type="noConversion"/>
  </si>
  <si>
    <t>F-CV 50SQ/3C</t>
    <phoneticPr fontId="4" type="noConversion"/>
  </si>
  <si>
    <t>FR-8 50SQ/3C</t>
    <phoneticPr fontId="4" type="noConversion"/>
  </si>
  <si>
    <t>F-CV 50SQ/4C</t>
    <phoneticPr fontId="4" type="noConversion"/>
  </si>
  <si>
    <t>FR-8 50SQ/4C</t>
    <phoneticPr fontId="4" type="noConversion"/>
  </si>
  <si>
    <t>F-GV 50SQ</t>
    <phoneticPr fontId="4" type="noConversion"/>
  </si>
  <si>
    <t>HFIX 50SQ</t>
    <phoneticPr fontId="4" type="noConversion"/>
  </si>
  <si>
    <t>F-CV 70SQ/1C</t>
    <phoneticPr fontId="4" type="noConversion"/>
  </si>
  <si>
    <t>FR-8 70SQ/1C</t>
    <phoneticPr fontId="4" type="noConversion"/>
  </si>
  <si>
    <t>F-CV 70SQ/2C</t>
    <phoneticPr fontId="4" type="noConversion"/>
  </si>
  <si>
    <t>FR-8 70SQ/2C</t>
    <phoneticPr fontId="4" type="noConversion"/>
  </si>
  <si>
    <t>F-CV 70SQ/3C</t>
    <phoneticPr fontId="4" type="noConversion"/>
  </si>
  <si>
    <t>FR-8 70SQ/3C</t>
    <phoneticPr fontId="4" type="noConversion"/>
  </si>
  <si>
    <t>F-CV 70SQ/4C</t>
    <phoneticPr fontId="4" type="noConversion"/>
  </si>
  <si>
    <t>FR-8 70SQ/4C</t>
    <phoneticPr fontId="4" type="noConversion"/>
  </si>
  <si>
    <t>F-GV 70SQ</t>
    <phoneticPr fontId="4" type="noConversion"/>
  </si>
  <si>
    <t>HFIX 70SQ</t>
    <phoneticPr fontId="4" type="noConversion"/>
  </si>
  <si>
    <t>F-CV 95SQ/1C</t>
    <phoneticPr fontId="4" type="noConversion"/>
  </si>
  <si>
    <t>FR-8 95SQ/1C</t>
    <phoneticPr fontId="4" type="noConversion"/>
  </si>
  <si>
    <t>F-CV 95SQ/2C</t>
    <phoneticPr fontId="4" type="noConversion"/>
  </si>
  <si>
    <t>FR-8 95SQ/2C</t>
    <phoneticPr fontId="4" type="noConversion"/>
  </si>
  <si>
    <t>F-CV 95SQ/3C</t>
    <phoneticPr fontId="4" type="noConversion"/>
  </si>
  <si>
    <t>FR-8 95SQ/3C</t>
    <phoneticPr fontId="4" type="noConversion"/>
  </si>
  <si>
    <t>F-CV 95SQ/4C</t>
    <phoneticPr fontId="4" type="noConversion"/>
  </si>
  <si>
    <t>FR-8 95SQ/4C</t>
    <phoneticPr fontId="4" type="noConversion"/>
  </si>
  <si>
    <t>F-GV 95SQ</t>
    <phoneticPr fontId="4" type="noConversion"/>
  </si>
  <si>
    <t>HFIX 95SQ</t>
    <phoneticPr fontId="4" type="noConversion"/>
  </si>
  <si>
    <t>F-CV 120SQ/1C</t>
    <phoneticPr fontId="4" type="noConversion"/>
  </si>
  <si>
    <t>FR-8 120SQ/1C</t>
    <phoneticPr fontId="4" type="noConversion"/>
  </si>
  <si>
    <t>F-CV 120SQ/2C</t>
    <phoneticPr fontId="4" type="noConversion"/>
  </si>
  <si>
    <t>FR-8 120SQ/2C</t>
    <phoneticPr fontId="4" type="noConversion"/>
  </si>
  <si>
    <t>F-CV 120SQ/3C</t>
    <phoneticPr fontId="4" type="noConversion"/>
  </si>
  <si>
    <t>FR-8 120SQ/3C</t>
    <phoneticPr fontId="4" type="noConversion"/>
  </si>
  <si>
    <t>F-CV 120SQ/4C</t>
    <phoneticPr fontId="4" type="noConversion"/>
  </si>
  <si>
    <t>FR-8 120SQ/4C</t>
    <phoneticPr fontId="4" type="noConversion"/>
  </si>
  <si>
    <t>F-GV 120SQ</t>
    <phoneticPr fontId="4" type="noConversion"/>
  </si>
  <si>
    <t>HFIX 120SQ</t>
    <phoneticPr fontId="4" type="noConversion"/>
  </si>
  <si>
    <t>F-CV 150SQ/1C</t>
    <phoneticPr fontId="4" type="noConversion"/>
  </si>
  <si>
    <t>FR-8 150SQ/1C</t>
    <phoneticPr fontId="4" type="noConversion"/>
  </si>
  <si>
    <t>F-CV 150SQ/2C</t>
    <phoneticPr fontId="4" type="noConversion"/>
  </si>
  <si>
    <t>FR-8 150SQ/2C</t>
    <phoneticPr fontId="4" type="noConversion"/>
  </si>
  <si>
    <t>F-CV 150SQ/3C</t>
    <phoneticPr fontId="4" type="noConversion"/>
  </si>
  <si>
    <t>FR-8 150SQ/3C</t>
    <phoneticPr fontId="4" type="noConversion"/>
  </si>
  <si>
    <t>F-CV 150SQ/4C</t>
    <phoneticPr fontId="4" type="noConversion"/>
  </si>
  <si>
    <t>FR-8 150SQ/4C</t>
    <phoneticPr fontId="4" type="noConversion"/>
  </si>
  <si>
    <t>F-GV 150SQ</t>
    <phoneticPr fontId="4" type="noConversion"/>
  </si>
  <si>
    <t>HFIX 150SQ</t>
    <phoneticPr fontId="4" type="noConversion"/>
  </si>
  <si>
    <t>F-CV 185SQ/1C</t>
    <phoneticPr fontId="4" type="noConversion"/>
  </si>
  <si>
    <t>FR-8 185SQ/1C</t>
    <phoneticPr fontId="4" type="noConversion"/>
  </si>
  <si>
    <t>F-CV 185SQ/2C</t>
    <phoneticPr fontId="4" type="noConversion"/>
  </si>
  <si>
    <t>FR-8 185SQ/2C</t>
    <phoneticPr fontId="4" type="noConversion"/>
  </si>
  <si>
    <t>F-CV 185SQ/3C</t>
    <phoneticPr fontId="4" type="noConversion"/>
  </si>
  <si>
    <t>FR-8 185SQ/3C</t>
    <phoneticPr fontId="4" type="noConversion"/>
  </si>
  <si>
    <t>F-CV 185SQ/4C</t>
    <phoneticPr fontId="4" type="noConversion"/>
  </si>
  <si>
    <t>FR-8 185SQ/4C</t>
    <phoneticPr fontId="4" type="noConversion"/>
  </si>
  <si>
    <t>F-GV 185SQ</t>
    <phoneticPr fontId="4" type="noConversion"/>
  </si>
  <si>
    <t>HFIX 185SQ</t>
    <phoneticPr fontId="4" type="noConversion"/>
  </si>
  <si>
    <t>F-CV 240SQ/1C</t>
    <phoneticPr fontId="4" type="noConversion"/>
  </si>
  <si>
    <t>FR-8 240SQ/1C</t>
    <phoneticPr fontId="4" type="noConversion"/>
  </si>
  <si>
    <t>F-CV 240SQ/2C</t>
    <phoneticPr fontId="4" type="noConversion"/>
  </si>
  <si>
    <t>FR-8 240SQ/2C</t>
    <phoneticPr fontId="4" type="noConversion"/>
  </si>
  <si>
    <t>F-CV 240SQ/3C</t>
    <phoneticPr fontId="4" type="noConversion"/>
  </si>
  <si>
    <t>FR-8 240SQ/3C</t>
    <phoneticPr fontId="4" type="noConversion"/>
  </si>
  <si>
    <t>F-CV 240SQ/4C</t>
    <phoneticPr fontId="4" type="noConversion"/>
  </si>
  <si>
    <t>FR-8 240SQ/4C</t>
    <phoneticPr fontId="4" type="noConversion"/>
  </si>
  <si>
    <t>F-GV 240SQ</t>
    <phoneticPr fontId="4" type="noConversion"/>
  </si>
  <si>
    <t>HFIX 240SQ</t>
    <phoneticPr fontId="4" type="noConversion"/>
  </si>
  <si>
    <t>F-CV 300SQ/1C</t>
    <phoneticPr fontId="4" type="noConversion"/>
  </si>
  <si>
    <t>FR-8 300SQ/1C</t>
    <phoneticPr fontId="4" type="noConversion"/>
  </si>
  <si>
    <t>F-CV 300SQ/2C</t>
    <phoneticPr fontId="4" type="noConversion"/>
  </si>
  <si>
    <t>FR-8 300SQ/2C</t>
    <phoneticPr fontId="4" type="noConversion"/>
  </si>
  <si>
    <t>F-CV 300SQ/3C</t>
    <phoneticPr fontId="4" type="noConversion"/>
  </si>
  <si>
    <t>FR-8 300SQ/3C</t>
    <phoneticPr fontId="4" type="noConversion"/>
  </si>
  <si>
    <t>F-CV 300SQ/4C</t>
    <phoneticPr fontId="4" type="noConversion"/>
  </si>
  <si>
    <t>FR-8 300SQ/4C</t>
    <phoneticPr fontId="4" type="noConversion"/>
  </si>
  <si>
    <t>F-GV 300SQ</t>
    <phoneticPr fontId="4" type="noConversion"/>
  </si>
  <si>
    <t>HFIX 300SQ</t>
    <phoneticPr fontId="4" type="noConversion"/>
  </si>
  <si>
    <t>F-CV 400SQ/1C</t>
    <phoneticPr fontId="4" type="noConversion"/>
  </si>
  <si>
    <t>FR-8 400SQ/1C</t>
    <phoneticPr fontId="4" type="noConversion"/>
  </si>
  <si>
    <t>F-CV 400SQ/2C</t>
    <phoneticPr fontId="4" type="noConversion"/>
  </si>
  <si>
    <t>FR-8 400SQ/2C</t>
    <phoneticPr fontId="4" type="noConversion"/>
  </si>
  <si>
    <t>F-CV 400SQ/3C</t>
    <phoneticPr fontId="4" type="noConversion"/>
  </si>
  <si>
    <t>F-CV 400SQ/4C</t>
    <phoneticPr fontId="4" type="noConversion"/>
  </si>
  <si>
    <t>F-GV 400SQ</t>
    <phoneticPr fontId="4" type="noConversion"/>
  </si>
  <si>
    <t>HFIX 400SQ</t>
    <phoneticPr fontId="4" type="noConversion"/>
  </si>
  <si>
    <t>F-CV 500SQ/1C</t>
    <phoneticPr fontId="4" type="noConversion"/>
  </si>
  <si>
    <t>FR-8 500SQ/1C</t>
    <phoneticPr fontId="4" type="noConversion"/>
  </si>
  <si>
    <t>F-CV 500SQ/2C</t>
    <phoneticPr fontId="4" type="noConversion"/>
  </si>
  <si>
    <t>FR-8 500SQ/2C</t>
    <phoneticPr fontId="4" type="noConversion"/>
  </si>
  <si>
    <t>F-CV 500SQ/3C</t>
    <phoneticPr fontId="4" type="noConversion"/>
  </si>
  <si>
    <t>F-CV 500SQ/4C</t>
    <phoneticPr fontId="4" type="noConversion"/>
  </si>
  <si>
    <t>F-GV 500SQ</t>
    <phoneticPr fontId="4" type="noConversion"/>
  </si>
  <si>
    <t>F-CV 600SQ/1C</t>
    <phoneticPr fontId="4" type="noConversion"/>
  </si>
  <si>
    <t>FR-8 600SQ/1C</t>
    <phoneticPr fontId="4" type="noConversion"/>
  </si>
  <si>
    <t>F-CV 600SQ/2C</t>
    <phoneticPr fontId="4" type="noConversion"/>
  </si>
  <si>
    <t>FR-8 600SQ/2C</t>
    <phoneticPr fontId="4" type="noConversion"/>
  </si>
  <si>
    <t>F-CV 600SQ/3C</t>
    <phoneticPr fontId="4" type="noConversion"/>
  </si>
  <si>
    <t>F-CV 600SQ/4C</t>
    <phoneticPr fontId="4" type="noConversion"/>
  </si>
  <si>
    <t>F-GV 630SQ</t>
    <phoneticPr fontId="4" type="noConversion"/>
  </si>
  <si>
    <t>1C</t>
    <phoneticPr fontId="4" type="noConversion"/>
  </si>
  <si>
    <t>2C</t>
    <phoneticPr fontId="4" type="noConversion"/>
  </si>
  <si>
    <t>3C,4C</t>
    <phoneticPr fontId="4" type="noConversion"/>
  </si>
  <si>
    <t>◀</t>
  </si>
  <si>
    <t>업데이트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</si>
</sst>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0.00_);\(0.00\)"/>
    <numFmt numFmtId="178" formatCode="0.0;[Red]0.0"/>
    <numFmt numFmtId="179" formatCode="0.00_);[Red]\(0.00\)"/>
  </numFmts>
  <fonts count="16">
    <font>
      <sz val="12"/>
      <name val="바탕체"/>
      <family val="1"/>
      <charset val="129"/>
    </font>
    <font>
      <sz val="10"/>
      <name val="돋움체"/>
      <family val="3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name val="바탕체"/>
      <family val="1"/>
      <charset val="129"/>
    </font>
    <font>
      <sz val="10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0"/>
      <name val="바탕체"/>
      <family val="1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b/>
      <sz val="10"/>
      <color theme="1"/>
      <name val="굴림체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66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79" fontId="6" fillId="10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Continuous" vertical="center"/>
    </xf>
    <xf numFmtId="0" fontId="11" fillId="0" borderId="0" xfId="0" applyFont="1" applyAlignment="1">
      <alignment horizontal="center" vertical="center"/>
    </xf>
    <xf numFmtId="0" fontId="6" fillId="11" borderId="14" xfId="0" applyFont="1" applyFill="1" applyBorder="1" applyAlignment="1">
      <alignment horizontal="center" vertical="center"/>
    </xf>
    <xf numFmtId="178" fontId="6" fillId="6" borderId="13" xfId="0" applyNumberFormat="1" applyFont="1" applyFill="1" applyBorder="1" applyAlignment="1">
      <alignment horizontal="center" vertical="center"/>
    </xf>
    <xf numFmtId="178" fontId="6" fillId="6" borderId="9" xfId="0" applyNumberFormat="1" applyFont="1" applyFill="1" applyBorder="1" applyAlignment="1">
      <alignment horizontal="center" vertical="center"/>
    </xf>
    <xf numFmtId="177" fontId="6" fillId="6" borderId="9" xfId="0" applyNumberFormat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79" fontId="6" fillId="11" borderId="14" xfId="0" applyNumberFormat="1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179" fontId="6" fillId="11" borderId="4" xfId="0" applyNumberFormat="1" applyFont="1" applyFill="1" applyBorder="1" applyAlignment="1">
      <alignment horizontal="center" vertical="center"/>
    </xf>
    <xf numFmtId="178" fontId="6" fillId="6" borderId="2" xfId="0" applyNumberFormat="1" applyFont="1" applyFill="1" applyBorder="1" applyAlignment="1">
      <alignment horizontal="center" vertical="center"/>
    </xf>
    <xf numFmtId="178" fontId="6" fillId="6" borderId="6" xfId="0" applyNumberFormat="1" applyFont="1" applyFill="1" applyBorder="1" applyAlignment="1">
      <alignment horizontal="center" vertical="center"/>
    </xf>
    <xf numFmtId="177" fontId="6" fillId="6" borderId="6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8" fontId="6" fillId="0" borderId="0" xfId="0" applyNumberFormat="1" applyFont="1"/>
    <xf numFmtId="177" fontId="6" fillId="0" borderId="0" xfId="0" applyNumberFormat="1" applyFont="1"/>
    <xf numFmtId="179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 vertical="center"/>
    </xf>
    <xf numFmtId="176" fontId="6" fillId="9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176" fontId="6" fillId="7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79" fontId="6" fillId="5" borderId="0" xfId="0" applyNumberFormat="1" applyFont="1" applyFill="1" applyAlignment="1">
      <alignment vertical="center"/>
    </xf>
    <xf numFmtId="179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vertical="center"/>
    </xf>
    <xf numFmtId="0" fontId="6" fillId="14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14" fontId="6" fillId="8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14" fontId="6" fillId="16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0" fontId="6" fillId="3" borderId="1" xfId="0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 wrapText="1"/>
    </xf>
    <xf numFmtId="177" fontId="6" fillId="3" borderId="2" xfId="0" applyNumberFormat="1" applyFont="1" applyFill="1" applyBorder="1" applyAlignment="1">
      <alignment horizontal="center" vertical="center"/>
    </xf>
    <xf numFmtId="178" fontId="6" fillId="3" borderId="3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179" fontId="6" fillId="3" borderId="3" xfId="0" applyNumberFormat="1" applyFont="1" applyFill="1" applyBorder="1" applyAlignment="1">
      <alignment horizontal="center" vertical="center"/>
    </xf>
    <xf numFmtId="179" fontId="6" fillId="3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66FFFF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10</xdr:col>
      <xdr:colOff>459115</xdr:colOff>
      <xdr:row>8</xdr:row>
      <xdr:rowOff>82098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E6D1CA-3659-4481-9426-5F3CB2A50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52400"/>
          <a:ext cx="1830715" cy="114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8941-7CC6-4C1E-BF8A-F43899C3F3DA}">
  <sheetPr codeName="Sheet31">
    <tabColor rgb="FF7030A0"/>
  </sheetPr>
  <dimension ref="A1:D413"/>
  <sheetViews>
    <sheetView showZeros="0" view="pageBreakPreview" zoomScaleSheetLayoutView="100" workbookViewId="0">
      <pane ySplit="1" topLeftCell="A2" activePane="bottomLeft" state="frozen"/>
      <selection activeCell="L115" sqref="L115"/>
      <selection pane="bottomLeft" activeCell="G39" sqref="G39"/>
    </sheetView>
  </sheetViews>
  <sheetFormatPr defaultColWidth="9" defaultRowHeight="12"/>
  <cols>
    <col min="1" max="1" width="17.125" style="3" customWidth="1"/>
    <col min="2" max="2" width="7.5" style="3" customWidth="1"/>
    <col min="3" max="3" width="9.125" style="65" bestFit="1" customWidth="1"/>
    <col min="4" max="16384" width="9" style="3"/>
  </cols>
  <sheetData>
    <row r="1" spans="1:4">
      <c r="A1" s="9" t="s">
        <v>53</v>
      </c>
      <c r="B1" s="9" t="s">
        <v>52</v>
      </c>
      <c r="C1" s="10" t="s">
        <v>69</v>
      </c>
      <c r="D1" s="1"/>
    </row>
    <row r="2" spans="1:4">
      <c r="A2" s="11" t="s">
        <v>99</v>
      </c>
      <c r="B2" s="11">
        <v>6.3</v>
      </c>
      <c r="C2" s="64">
        <v>31.17245310524472</v>
      </c>
      <c r="D2" s="6"/>
    </row>
    <row r="3" spans="1:4">
      <c r="A3" s="11" t="s">
        <v>100</v>
      </c>
      <c r="B3" s="11">
        <v>11</v>
      </c>
      <c r="C3" s="64">
        <v>95.033177771091246</v>
      </c>
      <c r="D3" s="6"/>
    </row>
    <row r="4" spans="1:4">
      <c r="A4" s="11" t="s">
        <v>105</v>
      </c>
      <c r="B4" s="11">
        <v>11.5</v>
      </c>
      <c r="C4" s="64">
        <v>103.86890710931253</v>
      </c>
      <c r="D4" s="6"/>
    </row>
    <row r="5" spans="1:4">
      <c r="A5" s="11" t="s">
        <v>110</v>
      </c>
      <c r="B5" s="11">
        <v>12.5</v>
      </c>
      <c r="C5" s="64">
        <v>122.7184630308513</v>
      </c>
      <c r="D5" s="6"/>
    </row>
    <row r="6" spans="1:4">
      <c r="A6" s="11" t="s">
        <v>153</v>
      </c>
      <c r="B6" s="11">
        <v>6.7</v>
      </c>
      <c r="C6" s="64">
        <v>35.256523554911453</v>
      </c>
      <c r="D6" s="6"/>
    </row>
    <row r="7" spans="1:4">
      <c r="A7" s="11" t="s">
        <v>155</v>
      </c>
      <c r="B7" s="11">
        <v>12</v>
      </c>
      <c r="C7" s="64">
        <v>113.09733552923255</v>
      </c>
      <c r="D7" s="6"/>
    </row>
    <row r="8" spans="1:4">
      <c r="A8" s="11" t="s">
        <v>161</v>
      </c>
      <c r="B8" s="11">
        <v>12.5</v>
      </c>
      <c r="C8" s="64">
        <v>122.7184630308513</v>
      </c>
      <c r="D8" s="6"/>
    </row>
    <row r="9" spans="1:4">
      <c r="A9" s="11" t="s">
        <v>167</v>
      </c>
      <c r="B9" s="11">
        <v>13.5</v>
      </c>
      <c r="C9" s="64">
        <v>143.13881527918494</v>
      </c>
      <c r="D9" s="6"/>
    </row>
    <row r="10" spans="1:4">
      <c r="A10" s="11" t="s">
        <v>211</v>
      </c>
      <c r="B10" s="11">
        <v>7.2</v>
      </c>
      <c r="C10" s="64">
        <v>40.715040790523723</v>
      </c>
      <c r="D10" s="6"/>
    </row>
    <row r="11" spans="1:4">
      <c r="A11" s="11" t="s">
        <v>213</v>
      </c>
      <c r="B11" s="11">
        <v>13</v>
      </c>
      <c r="C11" s="64">
        <v>132.73228961416876</v>
      </c>
      <c r="D11" s="6"/>
    </row>
    <row r="12" spans="1:4">
      <c r="A12" s="11" t="s">
        <v>219</v>
      </c>
      <c r="B12" s="11">
        <v>13.5</v>
      </c>
      <c r="C12" s="64">
        <v>143.13881527918494</v>
      </c>
      <c r="D12" s="6"/>
    </row>
    <row r="13" spans="1:4">
      <c r="A13" s="11" t="s">
        <v>225</v>
      </c>
      <c r="B13" s="11">
        <v>14.5</v>
      </c>
      <c r="C13" s="64">
        <v>165.1299638543135</v>
      </c>
      <c r="D13" s="6"/>
    </row>
    <row r="14" spans="1:4">
      <c r="A14" s="11" t="s">
        <v>269</v>
      </c>
      <c r="B14" s="11">
        <v>7.8</v>
      </c>
      <c r="C14" s="64">
        <v>47.783624261100748</v>
      </c>
      <c r="D14" s="6"/>
    </row>
    <row r="15" spans="1:4">
      <c r="A15" s="11" t="s">
        <v>271</v>
      </c>
      <c r="B15" s="11">
        <v>14</v>
      </c>
      <c r="C15" s="64">
        <v>153.93804002589985</v>
      </c>
      <c r="D15" s="8"/>
    </row>
    <row r="16" spans="1:4">
      <c r="A16" s="11" t="s">
        <v>276</v>
      </c>
      <c r="B16" s="11">
        <v>14.5</v>
      </c>
      <c r="C16" s="64">
        <v>165.1299638543135</v>
      </c>
      <c r="D16" s="8"/>
    </row>
    <row r="17" spans="1:4">
      <c r="A17" s="11" t="s">
        <v>281</v>
      </c>
      <c r="B17" s="11">
        <v>16</v>
      </c>
      <c r="C17" s="64">
        <v>201.06192982974676</v>
      </c>
      <c r="D17" s="6"/>
    </row>
    <row r="18" spans="1:4">
      <c r="A18" s="11" t="s">
        <v>315</v>
      </c>
      <c r="B18" s="11">
        <v>9.4</v>
      </c>
      <c r="C18" s="64">
        <v>69.397781717798537</v>
      </c>
      <c r="D18" s="6"/>
    </row>
    <row r="19" spans="1:4">
      <c r="A19" s="11" t="s">
        <v>317</v>
      </c>
      <c r="B19" s="11">
        <v>17</v>
      </c>
      <c r="C19" s="64">
        <v>226.98006922186255</v>
      </c>
      <c r="D19" s="6"/>
    </row>
    <row r="20" spans="1:4">
      <c r="A20" s="11" t="s">
        <v>322</v>
      </c>
      <c r="B20" s="11">
        <v>18</v>
      </c>
      <c r="C20" s="64">
        <v>254.46900494077323</v>
      </c>
      <c r="D20" s="6"/>
    </row>
    <row r="21" spans="1:4">
      <c r="A21" s="11" t="s">
        <v>327</v>
      </c>
      <c r="B21" s="11">
        <v>20</v>
      </c>
      <c r="C21" s="64">
        <v>314.15926535897933</v>
      </c>
      <c r="D21" s="6"/>
    </row>
    <row r="22" spans="1:4">
      <c r="A22" s="11" t="s">
        <v>361</v>
      </c>
      <c r="B22" s="11">
        <v>10</v>
      </c>
      <c r="C22" s="64">
        <v>78.539816339744831</v>
      </c>
      <c r="D22" s="6"/>
    </row>
    <row r="23" spans="1:4">
      <c r="A23" s="11" t="s">
        <v>363</v>
      </c>
      <c r="B23" s="11">
        <v>18.5</v>
      </c>
      <c r="C23" s="64">
        <v>268.80252142277669</v>
      </c>
      <c r="D23" s="6"/>
    </row>
    <row r="24" spans="1:4">
      <c r="A24" s="11" t="s">
        <v>365</v>
      </c>
      <c r="B24" s="11">
        <v>19.5</v>
      </c>
      <c r="C24" s="64">
        <v>298.64765163187968</v>
      </c>
      <c r="D24" s="6"/>
    </row>
    <row r="25" spans="1:4">
      <c r="A25" s="11" t="s">
        <v>367</v>
      </c>
      <c r="B25" s="11">
        <v>22</v>
      </c>
      <c r="C25" s="64">
        <v>380.13271108436498</v>
      </c>
      <c r="D25" s="6"/>
    </row>
    <row r="26" spans="1:4">
      <c r="A26" s="11" t="s">
        <v>371</v>
      </c>
      <c r="B26" s="11">
        <v>12</v>
      </c>
      <c r="C26" s="64">
        <v>113.09733552923255</v>
      </c>
      <c r="D26" s="6"/>
    </row>
    <row r="27" spans="1:4">
      <c r="A27" s="11" t="s">
        <v>373</v>
      </c>
      <c r="B27" s="11">
        <v>22</v>
      </c>
      <c r="C27" s="64">
        <v>380.13271108436498</v>
      </c>
      <c r="D27" s="6"/>
    </row>
    <row r="28" spans="1:4">
      <c r="A28" s="11" t="s">
        <v>375</v>
      </c>
      <c r="B28" s="11">
        <v>23</v>
      </c>
      <c r="C28" s="64">
        <v>415.47562843725012</v>
      </c>
      <c r="D28" s="6"/>
    </row>
    <row r="29" spans="1:4">
      <c r="A29" s="11" t="s">
        <v>377</v>
      </c>
      <c r="B29" s="11">
        <v>26</v>
      </c>
      <c r="C29" s="64">
        <v>530.92915845667505</v>
      </c>
      <c r="D29" s="6"/>
    </row>
    <row r="30" spans="1:4">
      <c r="A30" s="11" t="s">
        <v>381</v>
      </c>
      <c r="B30" s="11">
        <v>13</v>
      </c>
      <c r="C30" s="64">
        <v>132.73228961416876</v>
      </c>
      <c r="D30" s="6"/>
    </row>
    <row r="31" spans="1:4">
      <c r="A31" s="11" t="s">
        <v>383</v>
      </c>
      <c r="B31" s="11">
        <v>24</v>
      </c>
      <c r="C31" s="64">
        <v>452.38934211693021</v>
      </c>
      <c r="D31" s="6"/>
    </row>
    <row r="32" spans="1:4">
      <c r="A32" s="11" t="s">
        <v>385</v>
      </c>
      <c r="B32" s="11">
        <v>25</v>
      </c>
      <c r="C32" s="64">
        <v>490.87385212340519</v>
      </c>
      <c r="D32" s="6"/>
    </row>
    <row r="33" spans="1:4">
      <c r="A33" s="11" t="s">
        <v>387</v>
      </c>
      <c r="B33" s="11">
        <v>28</v>
      </c>
      <c r="C33" s="64">
        <v>615.75216010359941</v>
      </c>
      <c r="D33" s="6"/>
    </row>
    <row r="34" spans="1:4">
      <c r="A34" s="11" t="s">
        <v>391</v>
      </c>
      <c r="B34" s="11">
        <v>14.5</v>
      </c>
      <c r="C34" s="64">
        <v>165.1299638543135</v>
      </c>
      <c r="D34" s="6"/>
    </row>
    <row r="35" spans="1:4">
      <c r="A35" s="11" t="s">
        <v>393</v>
      </c>
      <c r="B35" s="11">
        <v>27</v>
      </c>
      <c r="C35" s="64">
        <v>572.55526111673976</v>
      </c>
      <c r="D35" s="6"/>
    </row>
    <row r="36" spans="1:4">
      <c r="A36" s="11" t="s">
        <v>395</v>
      </c>
      <c r="B36" s="11">
        <v>29</v>
      </c>
      <c r="C36" s="64">
        <v>660.51985541725401</v>
      </c>
      <c r="D36" s="6"/>
    </row>
    <row r="37" spans="1:4">
      <c r="A37" s="11" t="s">
        <v>397</v>
      </c>
      <c r="B37" s="11">
        <v>32</v>
      </c>
      <c r="C37" s="64">
        <v>804.24771931898704</v>
      </c>
      <c r="D37" s="6"/>
    </row>
    <row r="38" spans="1:4">
      <c r="A38" s="11" t="s">
        <v>401</v>
      </c>
      <c r="B38" s="11">
        <v>16</v>
      </c>
      <c r="C38" s="64">
        <v>201.06192982974676</v>
      </c>
      <c r="D38" s="6"/>
    </row>
    <row r="39" spans="1:4">
      <c r="A39" s="11" t="s">
        <v>403</v>
      </c>
      <c r="B39" s="11">
        <v>31</v>
      </c>
      <c r="C39" s="64">
        <v>754.76763502494782</v>
      </c>
      <c r="D39" s="6"/>
    </row>
    <row r="40" spans="1:4">
      <c r="A40" s="11" t="s">
        <v>405</v>
      </c>
      <c r="B40" s="11">
        <v>33</v>
      </c>
      <c r="C40" s="64">
        <v>855.2985999398212</v>
      </c>
      <c r="D40" s="6"/>
    </row>
    <row r="41" spans="1:4">
      <c r="A41" s="11" t="s">
        <v>407</v>
      </c>
      <c r="B41" s="11">
        <v>36</v>
      </c>
      <c r="C41" s="64">
        <v>1017.8760197630929</v>
      </c>
      <c r="D41" s="6"/>
    </row>
    <row r="42" spans="1:4">
      <c r="A42" s="11" t="s">
        <v>411</v>
      </c>
      <c r="B42" s="11">
        <v>18.5</v>
      </c>
      <c r="C42" s="64">
        <v>268.80252142277669</v>
      </c>
      <c r="D42" s="6"/>
    </row>
    <row r="43" spans="1:4">
      <c r="A43" s="11" t="s">
        <v>413</v>
      </c>
      <c r="B43" s="11">
        <v>34</v>
      </c>
      <c r="C43" s="64">
        <v>907.9202768874502</v>
      </c>
      <c r="D43" s="6"/>
    </row>
    <row r="44" spans="1:4">
      <c r="A44" s="11" t="s">
        <v>415</v>
      </c>
      <c r="B44" s="11">
        <v>37</v>
      </c>
      <c r="C44" s="64">
        <v>1075.2100856911068</v>
      </c>
      <c r="D44" s="6"/>
    </row>
    <row r="45" spans="1:4">
      <c r="A45" s="11" t="s">
        <v>417</v>
      </c>
      <c r="B45" s="11">
        <v>42</v>
      </c>
      <c r="C45" s="64">
        <v>1385.4423602330987</v>
      </c>
      <c r="D45" s="6"/>
    </row>
    <row r="46" spans="1:4">
      <c r="A46" s="11" t="s">
        <v>421</v>
      </c>
      <c r="B46" s="11">
        <v>20</v>
      </c>
      <c r="C46" s="64">
        <v>314.15926535897933</v>
      </c>
      <c r="D46" s="6"/>
    </row>
    <row r="47" spans="1:4">
      <c r="A47" s="11" t="s">
        <v>423</v>
      </c>
      <c r="B47" s="11">
        <v>38</v>
      </c>
      <c r="C47" s="64">
        <v>1134.1149479459152</v>
      </c>
      <c r="D47" s="6"/>
    </row>
    <row r="48" spans="1:4">
      <c r="A48" s="11" t="s">
        <v>425</v>
      </c>
      <c r="B48" s="11">
        <v>41</v>
      </c>
      <c r="C48" s="64">
        <v>1320.2543126711105</v>
      </c>
      <c r="D48" s="6"/>
    </row>
    <row r="49" spans="1:4">
      <c r="A49" s="11" t="s">
        <v>427</v>
      </c>
      <c r="B49" s="11">
        <v>46</v>
      </c>
      <c r="C49" s="64">
        <v>1661.9025137490005</v>
      </c>
      <c r="D49" s="6"/>
    </row>
    <row r="50" spans="1:4">
      <c r="A50" s="11" t="s">
        <v>431</v>
      </c>
      <c r="B50" s="11">
        <v>22</v>
      </c>
      <c r="C50" s="64">
        <v>380.13271108436498</v>
      </c>
      <c r="D50" s="6"/>
    </row>
    <row r="51" spans="1:4">
      <c r="A51" s="11" t="s">
        <v>433</v>
      </c>
      <c r="B51" s="11">
        <v>43</v>
      </c>
      <c r="C51" s="64">
        <v>1452.2012041218818</v>
      </c>
      <c r="D51" s="6"/>
    </row>
    <row r="52" spans="1:4">
      <c r="A52" s="11" t="s">
        <v>435</v>
      </c>
      <c r="B52" s="11">
        <v>46</v>
      </c>
      <c r="C52" s="64">
        <v>1661.9025137490005</v>
      </c>
      <c r="D52" s="6"/>
    </row>
    <row r="53" spans="1:4">
      <c r="A53" s="11" t="s">
        <v>437</v>
      </c>
      <c r="B53" s="11">
        <v>51</v>
      </c>
      <c r="C53" s="64">
        <v>2042.8206229967629</v>
      </c>
      <c r="D53" s="6"/>
    </row>
    <row r="54" spans="1:4">
      <c r="A54" s="11" t="s">
        <v>441</v>
      </c>
      <c r="B54" s="11">
        <v>24</v>
      </c>
      <c r="C54" s="64">
        <v>452.38934211693021</v>
      </c>
      <c r="D54" s="6"/>
    </row>
    <row r="55" spans="1:4">
      <c r="A55" s="11" t="s">
        <v>443</v>
      </c>
      <c r="B55" s="11">
        <v>47</v>
      </c>
      <c r="C55" s="64">
        <v>1734.9445429449634</v>
      </c>
      <c r="D55" s="6"/>
    </row>
    <row r="56" spans="1:4">
      <c r="A56" s="11" t="s">
        <v>445</v>
      </c>
      <c r="B56" s="11">
        <v>50</v>
      </c>
      <c r="C56" s="64">
        <v>1963.4954084936207</v>
      </c>
      <c r="D56" s="6"/>
    </row>
    <row r="57" spans="1:4">
      <c r="A57" s="11" t="s">
        <v>447</v>
      </c>
      <c r="B57" s="11">
        <v>56</v>
      </c>
      <c r="C57" s="64">
        <v>2463.0086404143976</v>
      </c>
      <c r="D57" s="6"/>
    </row>
    <row r="58" spans="1:4">
      <c r="A58" s="11" t="s">
        <v>451</v>
      </c>
      <c r="B58" s="11">
        <v>27</v>
      </c>
      <c r="C58" s="64">
        <v>572.55526111673976</v>
      </c>
      <c r="D58" s="6"/>
    </row>
    <row r="59" spans="1:4">
      <c r="A59" s="11" t="s">
        <v>453</v>
      </c>
      <c r="B59" s="11">
        <v>53</v>
      </c>
      <c r="C59" s="64">
        <v>2206.1834409834323</v>
      </c>
      <c r="D59" s="6"/>
    </row>
    <row r="60" spans="1:4">
      <c r="A60" s="11" t="s">
        <v>455</v>
      </c>
      <c r="B60" s="11">
        <v>57</v>
      </c>
      <c r="C60" s="64">
        <v>2551.7586328783095</v>
      </c>
      <c r="D60" s="6"/>
    </row>
    <row r="61" spans="1:4">
      <c r="A61" s="11" t="s">
        <v>457</v>
      </c>
      <c r="B61" s="11">
        <v>63</v>
      </c>
      <c r="C61" s="64">
        <v>3117.2453105244722</v>
      </c>
      <c r="D61" s="6"/>
    </row>
    <row r="62" spans="1:4">
      <c r="A62" s="11" t="s">
        <v>461</v>
      </c>
      <c r="B62" s="11">
        <v>30</v>
      </c>
      <c r="C62" s="64">
        <v>706.85834705770344</v>
      </c>
      <c r="D62" s="6"/>
    </row>
    <row r="63" spans="1:4">
      <c r="A63" s="11" t="s">
        <v>463</v>
      </c>
      <c r="B63" s="11">
        <v>58</v>
      </c>
      <c r="C63" s="64">
        <v>2642.079421669016</v>
      </c>
      <c r="D63" s="6"/>
    </row>
    <row r="64" spans="1:4">
      <c r="A64" s="11" t="s">
        <v>465</v>
      </c>
      <c r="B64" s="11">
        <v>62</v>
      </c>
      <c r="C64" s="64">
        <v>3019.0705400997913</v>
      </c>
      <c r="D64" s="6"/>
    </row>
    <row r="65" spans="1:4">
      <c r="A65" s="11" t="s">
        <v>467</v>
      </c>
      <c r="B65" s="11">
        <v>70</v>
      </c>
      <c r="C65" s="64">
        <v>3848.4510006474966</v>
      </c>
      <c r="D65" s="6"/>
    </row>
    <row r="66" spans="1:4">
      <c r="A66" s="11" t="s">
        <v>471</v>
      </c>
      <c r="B66" s="11">
        <v>34</v>
      </c>
      <c r="C66" s="64">
        <v>907.9202768874502</v>
      </c>
      <c r="D66" s="6"/>
    </row>
    <row r="67" spans="1:4">
      <c r="A67" s="11" t="s">
        <v>473</v>
      </c>
      <c r="B67" s="11"/>
      <c r="C67" s="64"/>
      <c r="D67" s="6"/>
    </row>
    <row r="68" spans="1:4">
      <c r="A68" s="11" t="s">
        <v>475</v>
      </c>
      <c r="B68" s="11"/>
      <c r="C68" s="64"/>
      <c r="D68" s="6"/>
    </row>
    <row r="69" spans="1:4">
      <c r="A69" s="11" t="s">
        <v>476</v>
      </c>
      <c r="B69" s="11"/>
      <c r="C69" s="64"/>
      <c r="D69" s="6"/>
    </row>
    <row r="70" spans="1:4">
      <c r="A70" s="11" t="s">
        <v>479</v>
      </c>
      <c r="B70" s="11">
        <v>37</v>
      </c>
      <c r="C70" s="64">
        <v>1075.2100856911068</v>
      </c>
      <c r="D70" s="6"/>
    </row>
    <row r="71" spans="1:4">
      <c r="A71" s="11" t="s">
        <v>481</v>
      </c>
      <c r="B71" s="11"/>
      <c r="C71" s="64"/>
      <c r="D71" s="6"/>
    </row>
    <row r="72" spans="1:4">
      <c r="A72" s="11" t="s">
        <v>483</v>
      </c>
      <c r="B72" s="11"/>
      <c r="C72" s="64"/>
      <c r="D72" s="6"/>
    </row>
    <row r="73" spans="1:4">
      <c r="A73" s="11" t="s">
        <v>484</v>
      </c>
      <c r="B73" s="11"/>
      <c r="C73" s="64"/>
      <c r="D73" s="6"/>
    </row>
    <row r="74" spans="1:4">
      <c r="A74" s="11" t="s">
        <v>486</v>
      </c>
      <c r="B74" s="11">
        <v>42</v>
      </c>
      <c r="C74" s="64">
        <v>1385.4423602330987</v>
      </c>
      <c r="D74" s="6"/>
    </row>
    <row r="75" spans="1:4">
      <c r="A75" s="11" t="s">
        <v>488</v>
      </c>
      <c r="B75" s="11"/>
      <c r="C75" s="64"/>
      <c r="D75" s="6"/>
    </row>
    <row r="76" spans="1:4">
      <c r="A76" s="11" t="s">
        <v>490</v>
      </c>
      <c r="B76" s="11"/>
      <c r="C76" s="64"/>
      <c r="D76" s="6"/>
    </row>
    <row r="77" spans="1:4">
      <c r="A77" s="11" t="s">
        <v>491</v>
      </c>
      <c r="B77" s="11"/>
      <c r="C77" s="64"/>
      <c r="D77" s="6"/>
    </row>
    <row r="78" spans="1:4">
      <c r="A78" s="11" t="s">
        <v>101</v>
      </c>
      <c r="B78" s="11">
        <v>11</v>
      </c>
      <c r="C78" s="64">
        <v>95.033177771091246</v>
      </c>
      <c r="D78" s="6"/>
    </row>
    <row r="79" spans="1:4">
      <c r="A79" s="11" t="s">
        <v>106</v>
      </c>
      <c r="B79" s="11">
        <v>11.5</v>
      </c>
      <c r="C79" s="64">
        <v>103.86890710931253</v>
      </c>
      <c r="D79" s="6"/>
    </row>
    <row r="80" spans="1:4">
      <c r="A80" s="11" t="s">
        <v>111</v>
      </c>
      <c r="B80" s="11">
        <v>12.5</v>
      </c>
      <c r="C80" s="64">
        <v>122.7184630308513</v>
      </c>
      <c r="D80" s="6"/>
    </row>
    <row r="81" spans="1:4">
      <c r="A81" s="11" t="s">
        <v>115</v>
      </c>
      <c r="B81" s="11">
        <v>13.5</v>
      </c>
      <c r="C81" s="64">
        <v>143.13881527918494</v>
      </c>
      <c r="D81" s="6"/>
    </row>
    <row r="82" spans="1:4">
      <c r="A82" s="11" t="s">
        <v>119</v>
      </c>
      <c r="B82" s="11">
        <v>14.5</v>
      </c>
      <c r="C82" s="64">
        <v>165.1299638543135</v>
      </c>
      <c r="D82" s="6"/>
    </row>
    <row r="83" spans="1:4">
      <c r="A83" s="11" t="s">
        <v>123</v>
      </c>
      <c r="B83" s="11">
        <v>14.5</v>
      </c>
      <c r="C83" s="64">
        <v>165.1299638543135</v>
      </c>
      <c r="D83" s="6"/>
    </row>
    <row r="84" spans="1:4">
      <c r="A84" s="11" t="s">
        <v>127</v>
      </c>
      <c r="B84" s="11">
        <v>15.5</v>
      </c>
      <c r="C84" s="64">
        <v>188.69190875623696</v>
      </c>
      <c r="D84" s="6"/>
    </row>
    <row r="85" spans="1:4">
      <c r="A85" s="11" t="s">
        <v>131</v>
      </c>
      <c r="B85" s="11">
        <v>18</v>
      </c>
      <c r="C85" s="64">
        <v>254.46900494077323</v>
      </c>
      <c r="D85" s="6"/>
    </row>
    <row r="86" spans="1:4">
      <c r="A86" s="11" t="s">
        <v>135</v>
      </c>
      <c r="B86" s="11">
        <v>18.5</v>
      </c>
      <c r="C86" s="64">
        <v>268.80252142277669</v>
      </c>
      <c r="D86" s="6"/>
    </row>
    <row r="87" spans="1:4">
      <c r="A87" s="11" t="s">
        <v>139</v>
      </c>
      <c r="B87" s="11">
        <v>19.5</v>
      </c>
      <c r="C87" s="64">
        <v>298.64765163187968</v>
      </c>
      <c r="D87" s="6"/>
    </row>
    <row r="88" spans="1:4">
      <c r="A88" s="11" t="s">
        <v>143</v>
      </c>
      <c r="B88" s="11">
        <v>22</v>
      </c>
      <c r="C88" s="64">
        <v>380.13271108436498</v>
      </c>
      <c r="D88" s="6"/>
    </row>
    <row r="89" spans="1:4">
      <c r="A89" s="11" t="s">
        <v>147</v>
      </c>
      <c r="B89" s="11">
        <v>26</v>
      </c>
      <c r="C89" s="64">
        <v>530.92915845667505</v>
      </c>
      <c r="D89" s="6"/>
    </row>
    <row r="90" spans="1:4">
      <c r="A90" s="11" t="s">
        <v>156</v>
      </c>
      <c r="B90" s="11">
        <v>12</v>
      </c>
      <c r="C90" s="64">
        <v>113.09733552923255</v>
      </c>
      <c r="D90" s="6"/>
    </row>
    <row r="91" spans="1:4">
      <c r="A91" s="11" t="s">
        <v>162</v>
      </c>
      <c r="B91" s="11">
        <v>12.5</v>
      </c>
      <c r="C91" s="64">
        <v>122.7184630308513</v>
      </c>
      <c r="D91" s="6"/>
    </row>
    <row r="92" spans="1:4">
      <c r="A92" s="11" t="s">
        <v>168</v>
      </c>
      <c r="B92" s="11">
        <v>13.5</v>
      </c>
      <c r="C92" s="64">
        <v>143.13881527918494</v>
      </c>
      <c r="D92" s="6"/>
    </row>
    <row r="93" spans="1:4">
      <c r="A93" s="11" t="s">
        <v>173</v>
      </c>
      <c r="B93" s="11">
        <v>14.5</v>
      </c>
      <c r="C93" s="64">
        <v>165.1299638543135</v>
      </c>
      <c r="D93" s="6"/>
    </row>
    <row r="94" spans="1:4">
      <c r="A94" s="11" t="s">
        <v>177</v>
      </c>
      <c r="B94" s="11">
        <v>15.5</v>
      </c>
      <c r="C94" s="64">
        <v>188.69190875623696</v>
      </c>
      <c r="D94" s="6"/>
    </row>
    <row r="95" spans="1:4">
      <c r="A95" s="11" t="s">
        <v>181</v>
      </c>
      <c r="B95" s="11">
        <v>15.5</v>
      </c>
      <c r="C95" s="64">
        <v>188.69190875623696</v>
      </c>
      <c r="D95" s="6"/>
    </row>
    <row r="96" spans="1:4">
      <c r="A96" s="11" t="s">
        <v>185</v>
      </c>
      <c r="B96" s="11">
        <v>16.5</v>
      </c>
      <c r="C96" s="64">
        <v>213.8246499849553</v>
      </c>
      <c r="D96" s="6"/>
    </row>
    <row r="97" spans="1:4">
      <c r="A97" s="11" t="s">
        <v>189</v>
      </c>
      <c r="B97" s="11">
        <v>19.5</v>
      </c>
      <c r="C97" s="64">
        <v>298.64765163187968</v>
      </c>
      <c r="D97" s="6"/>
    </row>
    <row r="98" spans="1:4">
      <c r="A98" s="11" t="s">
        <v>193</v>
      </c>
      <c r="B98" s="11">
        <v>20</v>
      </c>
      <c r="C98" s="64">
        <v>314.15926535897933</v>
      </c>
      <c r="D98" s="6"/>
    </row>
    <row r="99" spans="1:4">
      <c r="A99" s="11" t="s">
        <v>197</v>
      </c>
      <c r="B99" s="11">
        <v>22</v>
      </c>
      <c r="C99" s="64">
        <v>380.13271108436498</v>
      </c>
      <c r="D99" s="6"/>
    </row>
    <row r="100" spans="1:4">
      <c r="A100" s="11" t="s">
        <v>201</v>
      </c>
      <c r="B100" s="11">
        <v>24</v>
      </c>
      <c r="C100" s="64">
        <v>452.38934211693021</v>
      </c>
      <c r="D100" s="6"/>
    </row>
    <row r="101" spans="1:4">
      <c r="A101" s="11" t="s">
        <v>205</v>
      </c>
      <c r="B101" s="11">
        <v>28</v>
      </c>
      <c r="C101" s="64">
        <v>615.75216010359941</v>
      </c>
      <c r="D101" s="6"/>
    </row>
    <row r="102" spans="1:4">
      <c r="A102" s="11" t="s">
        <v>214</v>
      </c>
      <c r="B102" s="11">
        <v>14</v>
      </c>
      <c r="C102" s="64">
        <v>153.93804002589985</v>
      </c>
      <c r="D102" s="6"/>
    </row>
    <row r="103" spans="1:4">
      <c r="A103" s="11" t="s">
        <v>220</v>
      </c>
      <c r="B103" s="11">
        <v>14.5</v>
      </c>
      <c r="C103" s="64">
        <v>165.1299638543135</v>
      </c>
      <c r="D103" s="6"/>
    </row>
    <row r="104" spans="1:4">
      <c r="A104" s="11" t="s">
        <v>226</v>
      </c>
      <c r="B104" s="11">
        <v>16</v>
      </c>
      <c r="C104" s="64">
        <v>201.06192982974676</v>
      </c>
      <c r="D104" s="6"/>
    </row>
    <row r="105" spans="1:4">
      <c r="A105" s="11" t="s">
        <v>231</v>
      </c>
      <c r="B105" s="11">
        <v>17</v>
      </c>
      <c r="C105" s="64">
        <v>226.98006922186255</v>
      </c>
      <c r="D105" s="6"/>
    </row>
    <row r="106" spans="1:4">
      <c r="A106" s="11" t="s">
        <v>235</v>
      </c>
      <c r="B106" s="11">
        <v>18.5</v>
      </c>
      <c r="C106" s="64">
        <v>268.80252142277669</v>
      </c>
      <c r="D106" s="6"/>
    </row>
    <row r="107" spans="1:4">
      <c r="A107" s="11" t="s">
        <v>239</v>
      </c>
      <c r="B107" s="11">
        <v>18.5</v>
      </c>
      <c r="C107" s="64">
        <v>268.80252142277669</v>
      </c>
      <c r="D107" s="6"/>
    </row>
    <row r="108" spans="1:4">
      <c r="A108" s="11" t="s">
        <v>243</v>
      </c>
      <c r="B108" s="11">
        <v>20</v>
      </c>
      <c r="C108" s="64">
        <v>314.15926535897933</v>
      </c>
      <c r="D108" s="6"/>
    </row>
    <row r="109" spans="1:4">
      <c r="A109" s="11" t="s">
        <v>247</v>
      </c>
      <c r="B109" s="11">
        <v>23</v>
      </c>
      <c r="C109" s="64">
        <v>415.47562843725012</v>
      </c>
      <c r="D109" s="6"/>
    </row>
    <row r="110" spans="1:4">
      <c r="A110" s="11" t="s">
        <v>251</v>
      </c>
      <c r="B110" s="11">
        <v>24</v>
      </c>
      <c r="C110" s="64">
        <v>452.38934211693021</v>
      </c>
      <c r="D110" s="6"/>
    </row>
    <row r="111" spans="1:4">
      <c r="A111" s="11" t="s">
        <v>255</v>
      </c>
      <c r="B111" s="11">
        <v>26</v>
      </c>
      <c r="C111" s="64">
        <v>530.92915845667505</v>
      </c>
      <c r="D111" s="6"/>
    </row>
    <row r="112" spans="1:4">
      <c r="A112" s="11" t="s">
        <v>259</v>
      </c>
      <c r="B112" s="11">
        <v>29</v>
      </c>
      <c r="C112" s="64">
        <v>660.51985541725401</v>
      </c>
      <c r="D112" s="6"/>
    </row>
    <row r="113" spans="1:4">
      <c r="A113" s="11" t="s">
        <v>263</v>
      </c>
      <c r="B113" s="11">
        <v>35</v>
      </c>
      <c r="C113" s="64">
        <v>962.11275016187415</v>
      </c>
      <c r="D113" s="6"/>
    </row>
    <row r="114" spans="1:4">
      <c r="A114" s="11" t="s">
        <v>272</v>
      </c>
      <c r="B114" s="11">
        <v>15</v>
      </c>
      <c r="C114" s="64">
        <v>176.71458676442586</v>
      </c>
      <c r="D114" s="6"/>
    </row>
    <row r="115" spans="1:4">
      <c r="A115" s="11" t="s">
        <v>277</v>
      </c>
      <c r="B115" s="11">
        <v>16</v>
      </c>
      <c r="C115" s="64">
        <v>201.06192982974676</v>
      </c>
      <c r="D115" s="6"/>
    </row>
    <row r="116" spans="1:4">
      <c r="A116" s="11" t="s">
        <v>282</v>
      </c>
      <c r="B116" s="11">
        <v>17</v>
      </c>
      <c r="C116" s="64">
        <v>226.98006922186255</v>
      </c>
      <c r="D116" s="6"/>
    </row>
    <row r="117" spans="1:4">
      <c r="A117" s="11" t="s">
        <v>286</v>
      </c>
      <c r="B117" s="11">
        <v>18.5</v>
      </c>
      <c r="C117" s="64">
        <v>268.80252142277669</v>
      </c>
      <c r="D117" s="6"/>
    </row>
    <row r="118" spans="1:4">
      <c r="A118" s="11" t="s">
        <v>289</v>
      </c>
      <c r="B118" s="11">
        <v>21</v>
      </c>
      <c r="C118" s="64">
        <v>346.36059005827468</v>
      </c>
      <c r="D118" s="6"/>
    </row>
    <row r="119" spans="1:4">
      <c r="A119" s="11" t="s">
        <v>292</v>
      </c>
      <c r="B119" s="11">
        <v>21</v>
      </c>
      <c r="C119" s="64">
        <v>346.36059005827468</v>
      </c>
      <c r="D119" s="6"/>
    </row>
    <row r="120" spans="1:4">
      <c r="A120" s="11" t="s">
        <v>295</v>
      </c>
      <c r="B120" s="11">
        <v>22</v>
      </c>
      <c r="C120" s="64">
        <v>380.13271108436498</v>
      </c>
      <c r="D120" s="6"/>
    </row>
    <row r="121" spans="1:4">
      <c r="A121" s="11" t="s">
        <v>298</v>
      </c>
      <c r="B121" s="11">
        <v>26</v>
      </c>
      <c r="C121" s="64">
        <v>530.92915845667505</v>
      </c>
      <c r="D121" s="6"/>
    </row>
    <row r="122" spans="1:4">
      <c r="A122" s="11" t="s">
        <v>301</v>
      </c>
      <c r="B122" s="11">
        <v>27</v>
      </c>
      <c r="C122" s="64">
        <v>572.55526111673976</v>
      </c>
      <c r="D122" s="6"/>
    </row>
    <row r="123" spans="1:4">
      <c r="A123" s="11" t="s">
        <v>304</v>
      </c>
      <c r="B123" s="11">
        <v>29</v>
      </c>
      <c r="C123" s="64">
        <v>660.51985541725401</v>
      </c>
      <c r="D123" s="6"/>
    </row>
    <row r="124" spans="1:4">
      <c r="A124" s="11" t="s">
        <v>307</v>
      </c>
      <c r="B124" s="11">
        <v>32</v>
      </c>
      <c r="C124" s="64">
        <v>804.24771931898704</v>
      </c>
      <c r="D124" s="6"/>
    </row>
    <row r="125" spans="1:4">
      <c r="A125" s="11" t="s">
        <v>310</v>
      </c>
      <c r="B125" s="11"/>
      <c r="C125" s="64"/>
      <c r="D125" s="6"/>
    </row>
    <row r="126" spans="1:4">
      <c r="A126" s="11" t="s">
        <v>318</v>
      </c>
      <c r="B126" s="11">
        <v>17</v>
      </c>
      <c r="C126" s="64">
        <v>226.98006922186255</v>
      </c>
      <c r="D126" s="6"/>
    </row>
    <row r="127" spans="1:4">
      <c r="A127" s="11" t="s">
        <v>323</v>
      </c>
      <c r="B127" s="11">
        <v>18</v>
      </c>
      <c r="C127" s="64">
        <v>254.46900494077323</v>
      </c>
      <c r="D127" s="6"/>
    </row>
    <row r="128" spans="1:4">
      <c r="A128" s="11" t="s">
        <v>328</v>
      </c>
      <c r="B128" s="11">
        <v>19.5</v>
      </c>
      <c r="C128" s="64">
        <v>298.64765163187968</v>
      </c>
      <c r="D128" s="6"/>
    </row>
    <row r="129" spans="1:4">
      <c r="A129" s="11" t="s">
        <v>332</v>
      </c>
      <c r="B129" s="11">
        <v>21</v>
      </c>
      <c r="C129" s="64">
        <v>346.36059005827468</v>
      </c>
      <c r="D129" s="6"/>
    </row>
    <row r="130" spans="1:4">
      <c r="A130" s="11" t="s">
        <v>335</v>
      </c>
      <c r="B130" s="11">
        <v>23</v>
      </c>
      <c r="C130" s="64">
        <v>415.47562843725012</v>
      </c>
      <c r="D130" s="6"/>
    </row>
    <row r="131" spans="1:4">
      <c r="A131" s="11" t="s">
        <v>338</v>
      </c>
      <c r="B131" s="11">
        <v>23</v>
      </c>
      <c r="C131" s="64">
        <v>415.47562843725012</v>
      </c>
      <c r="D131" s="6"/>
    </row>
    <row r="132" spans="1:4">
      <c r="A132" s="11" t="s">
        <v>341</v>
      </c>
      <c r="B132" s="11">
        <v>25</v>
      </c>
      <c r="C132" s="64">
        <v>490.87385212340519</v>
      </c>
      <c r="D132" s="6"/>
    </row>
    <row r="133" spans="1:4">
      <c r="A133" s="11" t="s">
        <v>344</v>
      </c>
      <c r="B133" s="11">
        <v>29</v>
      </c>
      <c r="C133" s="64">
        <v>660.51985541725401</v>
      </c>
      <c r="D133" s="6"/>
    </row>
    <row r="134" spans="1:4">
      <c r="A134" s="11" t="s">
        <v>347</v>
      </c>
      <c r="B134" s="11">
        <v>30</v>
      </c>
      <c r="C134" s="64">
        <v>706.85834705770344</v>
      </c>
      <c r="D134" s="6"/>
    </row>
    <row r="135" spans="1:4">
      <c r="A135" s="11" t="s">
        <v>350</v>
      </c>
      <c r="B135" s="11"/>
      <c r="C135" s="64"/>
      <c r="D135" s="6"/>
    </row>
    <row r="136" spans="1:4">
      <c r="A136" s="11" t="s">
        <v>353</v>
      </c>
      <c r="B136" s="11"/>
      <c r="C136" s="64"/>
      <c r="D136" s="6"/>
    </row>
    <row r="137" spans="1:4">
      <c r="A137" s="11" t="s">
        <v>356</v>
      </c>
      <c r="B137" s="11"/>
      <c r="C137" s="64"/>
      <c r="D137" s="6"/>
    </row>
    <row r="138" spans="1:4">
      <c r="A138" s="11" t="s">
        <v>102</v>
      </c>
      <c r="B138" s="11">
        <v>12</v>
      </c>
      <c r="C138" s="64">
        <v>113.09733552923255</v>
      </c>
      <c r="D138" s="6"/>
    </row>
    <row r="139" spans="1:4">
      <c r="A139" s="11" t="s">
        <v>107</v>
      </c>
      <c r="B139" s="11">
        <v>12.5</v>
      </c>
      <c r="C139" s="64">
        <v>122.7184630308513</v>
      </c>
      <c r="D139" s="6"/>
    </row>
    <row r="140" spans="1:4">
      <c r="A140" s="11" t="s">
        <v>112</v>
      </c>
      <c r="B140" s="11">
        <v>13.5</v>
      </c>
      <c r="C140" s="64">
        <v>143.13881527918494</v>
      </c>
      <c r="D140" s="6"/>
    </row>
    <row r="141" spans="1:4">
      <c r="A141" s="11" t="s">
        <v>116</v>
      </c>
      <c r="B141" s="11">
        <v>14.5</v>
      </c>
      <c r="C141" s="64">
        <v>165.1299638543135</v>
      </c>
      <c r="D141" s="6"/>
    </row>
    <row r="142" spans="1:4">
      <c r="A142" s="11" t="s">
        <v>120</v>
      </c>
      <c r="B142" s="11">
        <v>15.5</v>
      </c>
      <c r="C142" s="64">
        <v>188.69190875623696</v>
      </c>
      <c r="D142" s="6"/>
    </row>
    <row r="143" spans="1:4">
      <c r="A143" s="11" t="s">
        <v>124</v>
      </c>
      <c r="B143" s="11">
        <v>15.5</v>
      </c>
      <c r="C143" s="64">
        <v>188.69190875623696</v>
      </c>
      <c r="D143" s="6"/>
    </row>
    <row r="144" spans="1:4">
      <c r="A144" s="11" t="s">
        <v>128</v>
      </c>
      <c r="B144" s="11">
        <v>16.5</v>
      </c>
      <c r="C144" s="64">
        <v>213.8246499849553</v>
      </c>
      <c r="D144" s="6"/>
    </row>
    <row r="145" spans="1:4">
      <c r="A145" s="11" t="s">
        <v>132</v>
      </c>
      <c r="B145" s="11">
        <v>18.5</v>
      </c>
      <c r="C145" s="64">
        <v>268.80252142277669</v>
      </c>
      <c r="D145" s="6"/>
    </row>
    <row r="146" spans="1:4">
      <c r="A146" s="11" t="s">
        <v>136</v>
      </c>
      <c r="B146" s="11">
        <v>18.5</v>
      </c>
      <c r="C146" s="64">
        <v>268.80252142277669</v>
      </c>
      <c r="D146" s="6"/>
    </row>
    <row r="147" spans="1:4">
      <c r="A147" s="11" t="s">
        <v>140</v>
      </c>
      <c r="B147" s="11">
        <v>20.5</v>
      </c>
      <c r="C147" s="64">
        <v>330.06357816777762</v>
      </c>
      <c r="D147" s="6"/>
    </row>
    <row r="148" spans="1:4">
      <c r="A148" s="11" t="s">
        <v>144</v>
      </c>
      <c r="B148" s="11">
        <v>22</v>
      </c>
      <c r="C148" s="64">
        <v>380.13271108436498</v>
      </c>
      <c r="D148" s="6"/>
    </row>
    <row r="149" spans="1:4">
      <c r="A149" s="11" t="s">
        <v>148</v>
      </c>
      <c r="B149" s="11">
        <v>26</v>
      </c>
      <c r="C149" s="64">
        <v>530.92915845667505</v>
      </c>
      <c r="D149" s="6"/>
    </row>
    <row r="150" spans="1:4">
      <c r="A150" s="11" t="s">
        <v>157</v>
      </c>
      <c r="B150" s="11">
        <v>13</v>
      </c>
      <c r="C150" s="64">
        <v>132.73228961416876</v>
      </c>
      <c r="D150" s="6"/>
    </row>
    <row r="151" spans="1:4">
      <c r="A151" s="11" t="s">
        <v>163</v>
      </c>
      <c r="B151" s="11">
        <v>13.5</v>
      </c>
      <c r="C151" s="64">
        <v>143.13881527918494</v>
      </c>
      <c r="D151" s="6"/>
    </row>
    <row r="152" spans="1:4">
      <c r="A152" s="11" t="s">
        <v>169</v>
      </c>
      <c r="B152" s="11">
        <v>14.5</v>
      </c>
      <c r="C152" s="64">
        <v>165.1299638543135</v>
      </c>
      <c r="D152" s="6"/>
    </row>
    <row r="153" spans="1:4">
      <c r="A153" s="11" t="s">
        <v>174</v>
      </c>
      <c r="B153" s="11">
        <v>15.5</v>
      </c>
      <c r="C153" s="64">
        <v>188.69190875623696</v>
      </c>
      <c r="D153" s="6"/>
    </row>
    <row r="154" spans="1:4">
      <c r="A154" s="11" t="s">
        <v>178</v>
      </c>
      <c r="B154" s="11">
        <v>16.5</v>
      </c>
      <c r="C154" s="64">
        <v>213.8246499849553</v>
      </c>
      <c r="D154" s="6"/>
    </row>
    <row r="155" spans="1:4">
      <c r="A155" s="11" t="s">
        <v>182</v>
      </c>
      <c r="B155" s="11">
        <v>16.5</v>
      </c>
      <c r="C155" s="64">
        <v>213.8246499849553</v>
      </c>
      <c r="D155" s="6"/>
    </row>
    <row r="156" spans="1:4">
      <c r="A156" s="11" t="s">
        <v>186</v>
      </c>
      <c r="B156" s="11">
        <v>17.5</v>
      </c>
      <c r="C156" s="64">
        <v>240.52818754046854</v>
      </c>
      <c r="D156" s="6"/>
    </row>
    <row r="157" spans="1:4">
      <c r="A157" s="11" t="s">
        <v>190</v>
      </c>
      <c r="B157" s="11">
        <v>20.5</v>
      </c>
      <c r="C157" s="64">
        <v>330.06357816777762</v>
      </c>
      <c r="D157" s="6"/>
    </row>
    <row r="158" spans="1:4">
      <c r="A158" s="11" t="s">
        <v>194</v>
      </c>
      <c r="B158" s="11">
        <v>20.5</v>
      </c>
      <c r="C158" s="64">
        <v>330.06357816777762</v>
      </c>
      <c r="D158" s="6"/>
    </row>
    <row r="159" spans="1:4">
      <c r="A159" s="11" t="s">
        <v>198</v>
      </c>
      <c r="B159" s="11">
        <v>22.5</v>
      </c>
      <c r="C159" s="64">
        <v>397.60782021995817</v>
      </c>
      <c r="D159" s="6"/>
    </row>
    <row r="160" spans="1:4">
      <c r="A160" s="11" t="s">
        <v>202</v>
      </c>
      <c r="B160" s="11">
        <v>25</v>
      </c>
      <c r="C160" s="64">
        <v>490.87385212340519</v>
      </c>
      <c r="D160" s="6"/>
    </row>
    <row r="161" spans="1:4">
      <c r="A161" s="11" t="s">
        <v>206</v>
      </c>
      <c r="B161" s="11">
        <v>25</v>
      </c>
      <c r="C161" s="64">
        <v>490.87385212340519</v>
      </c>
      <c r="D161" s="6"/>
    </row>
    <row r="162" spans="1:4">
      <c r="A162" s="11" t="s">
        <v>215</v>
      </c>
      <c r="B162" s="11">
        <v>14.5</v>
      </c>
      <c r="C162" s="64">
        <v>165.1299638543135</v>
      </c>
      <c r="D162" s="6"/>
    </row>
    <row r="163" spans="1:4">
      <c r="A163" s="11" t="s">
        <v>221</v>
      </c>
      <c r="B163" s="11">
        <v>15.5</v>
      </c>
      <c r="C163" s="64">
        <v>188.69190875623696</v>
      </c>
      <c r="D163" s="6"/>
    </row>
    <row r="164" spans="1:4">
      <c r="A164" s="11" t="s">
        <v>227</v>
      </c>
      <c r="B164" s="11">
        <v>16.5</v>
      </c>
      <c r="C164" s="64">
        <v>213.8246499849553</v>
      </c>
      <c r="D164" s="6"/>
    </row>
    <row r="165" spans="1:4">
      <c r="A165" s="11" t="s">
        <v>232</v>
      </c>
      <c r="B165" s="11">
        <v>18</v>
      </c>
      <c r="C165" s="64">
        <v>254.46900494077323</v>
      </c>
      <c r="D165" s="6"/>
    </row>
    <row r="166" spans="1:4">
      <c r="A166" s="11" t="s">
        <v>236</v>
      </c>
      <c r="B166" s="11">
        <v>19.5</v>
      </c>
      <c r="C166" s="64">
        <v>298.64765163187968</v>
      </c>
      <c r="D166" s="6"/>
    </row>
    <row r="167" spans="1:4">
      <c r="A167" s="11" t="s">
        <v>240</v>
      </c>
      <c r="B167" s="11">
        <v>19.5</v>
      </c>
      <c r="C167" s="64">
        <v>298.64765163187968</v>
      </c>
      <c r="D167" s="6"/>
    </row>
    <row r="168" spans="1:4">
      <c r="A168" s="11" t="s">
        <v>244</v>
      </c>
      <c r="B168" s="11">
        <v>21.5</v>
      </c>
      <c r="C168" s="64">
        <v>363.05030103047045</v>
      </c>
      <c r="D168" s="6"/>
    </row>
    <row r="169" spans="1:4">
      <c r="A169" s="11" t="s">
        <v>248</v>
      </c>
      <c r="B169" s="11">
        <v>24.5</v>
      </c>
      <c r="C169" s="64">
        <v>471.43524757931834</v>
      </c>
      <c r="D169" s="6"/>
    </row>
    <row r="170" spans="1:4">
      <c r="A170" s="11" t="s">
        <v>252</v>
      </c>
      <c r="B170" s="11">
        <v>25.5</v>
      </c>
      <c r="C170" s="64">
        <v>510.70515574919074</v>
      </c>
      <c r="D170" s="6"/>
    </row>
    <row r="171" spans="1:4">
      <c r="A171" s="11" t="s">
        <v>256</v>
      </c>
      <c r="B171" s="11">
        <v>27.5</v>
      </c>
      <c r="C171" s="64">
        <v>593.95736106932031</v>
      </c>
      <c r="D171" s="6"/>
    </row>
    <row r="172" spans="1:4">
      <c r="A172" s="11" t="s">
        <v>260</v>
      </c>
      <c r="B172" s="11">
        <v>30</v>
      </c>
      <c r="C172" s="64">
        <v>706.85834705770344</v>
      </c>
      <c r="D172" s="6"/>
    </row>
    <row r="173" spans="1:4">
      <c r="A173" s="11" t="s">
        <v>264</v>
      </c>
      <c r="B173" s="11">
        <v>36</v>
      </c>
      <c r="C173" s="64">
        <v>1017.8760197630929</v>
      </c>
      <c r="D173" s="6"/>
    </row>
    <row r="174" spans="1:4">
      <c r="A174" s="11" t="s">
        <v>273</v>
      </c>
      <c r="B174" s="11">
        <v>16</v>
      </c>
      <c r="C174" s="64">
        <v>201.06192982974676</v>
      </c>
      <c r="D174" s="6"/>
    </row>
    <row r="175" spans="1:4">
      <c r="A175" s="11" t="s">
        <v>278</v>
      </c>
      <c r="B175" s="11">
        <v>17</v>
      </c>
      <c r="C175" s="64">
        <v>226.98006922186255</v>
      </c>
      <c r="D175" s="6"/>
    </row>
    <row r="176" spans="1:4">
      <c r="A176" s="11" t="s">
        <v>283</v>
      </c>
      <c r="B176" s="11">
        <v>18</v>
      </c>
      <c r="C176" s="64">
        <v>254.46900494077323</v>
      </c>
      <c r="D176" s="6"/>
    </row>
    <row r="177" spans="1:4">
      <c r="A177" s="11" t="s">
        <v>287</v>
      </c>
      <c r="B177" s="11">
        <v>19.5</v>
      </c>
      <c r="C177" s="64">
        <v>298.64765163187968</v>
      </c>
      <c r="D177" s="6"/>
    </row>
    <row r="178" spans="1:4">
      <c r="A178" s="11" t="s">
        <v>290</v>
      </c>
      <c r="B178" s="11">
        <v>21.5</v>
      </c>
      <c r="C178" s="64">
        <v>363.05030103047045</v>
      </c>
      <c r="D178" s="6"/>
    </row>
    <row r="179" spans="1:4">
      <c r="A179" s="11" t="s">
        <v>293</v>
      </c>
      <c r="B179" s="11">
        <v>21.5</v>
      </c>
      <c r="C179" s="64">
        <v>363.05030103047045</v>
      </c>
      <c r="D179" s="6"/>
    </row>
    <row r="180" spans="1:4">
      <c r="A180" s="11" t="s">
        <v>296</v>
      </c>
      <c r="B180" s="11">
        <v>23.5</v>
      </c>
      <c r="C180" s="64">
        <v>433.73613573624084</v>
      </c>
      <c r="D180" s="6"/>
    </row>
    <row r="181" spans="1:4">
      <c r="A181" s="11" t="s">
        <v>299</v>
      </c>
      <c r="B181" s="11">
        <v>26.5</v>
      </c>
      <c r="C181" s="64">
        <v>551.54586024585808</v>
      </c>
      <c r="D181" s="6"/>
    </row>
    <row r="182" spans="1:4">
      <c r="A182" s="11" t="s">
        <v>302</v>
      </c>
      <c r="B182" s="11">
        <v>27.5</v>
      </c>
      <c r="C182" s="64">
        <v>593.95736106932031</v>
      </c>
      <c r="D182" s="6"/>
    </row>
    <row r="183" spans="1:4">
      <c r="A183" s="11" t="s">
        <v>305</v>
      </c>
      <c r="B183" s="11">
        <v>29.5</v>
      </c>
      <c r="C183" s="64">
        <v>683.4927516966294</v>
      </c>
      <c r="D183" s="6"/>
    </row>
    <row r="184" spans="1:4">
      <c r="A184" s="11" t="s">
        <v>308</v>
      </c>
      <c r="B184" s="11">
        <v>33</v>
      </c>
      <c r="C184" s="64">
        <v>855.2985999398212</v>
      </c>
      <c r="D184" s="6"/>
    </row>
    <row r="185" spans="1:4">
      <c r="A185" s="11" t="s">
        <v>311</v>
      </c>
      <c r="B185" s="11"/>
      <c r="C185" s="64"/>
      <c r="D185" s="6"/>
    </row>
    <row r="186" spans="1:4">
      <c r="A186" s="11" t="s">
        <v>319</v>
      </c>
      <c r="B186" s="11">
        <v>17.5</v>
      </c>
      <c r="C186" s="64">
        <v>240.52818754046854</v>
      </c>
      <c r="D186" s="6"/>
    </row>
    <row r="187" spans="1:4">
      <c r="A187" s="11" t="s">
        <v>324</v>
      </c>
      <c r="B187" s="11">
        <v>18.5</v>
      </c>
      <c r="C187" s="64">
        <v>268.80252142277669</v>
      </c>
      <c r="D187" s="6"/>
    </row>
    <row r="188" spans="1:4">
      <c r="A188" s="11" t="s">
        <v>329</v>
      </c>
      <c r="B188" s="11">
        <v>20.5</v>
      </c>
      <c r="C188" s="64">
        <v>330.06357816777762</v>
      </c>
      <c r="D188" s="6"/>
    </row>
    <row r="189" spans="1:4">
      <c r="A189" s="11" t="s">
        <v>333</v>
      </c>
      <c r="B189" s="11">
        <v>22.5</v>
      </c>
      <c r="C189" s="64">
        <v>397.60782021995817</v>
      </c>
      <c r="D189" s="6"/>
    </row>
    <row r="190" spans="1:4">
      <c r="A190" s="11" t="s">
        <v>336</v>
      </c>
      <c r="B190" s="11">
        <v>24.5</v>
      </c>
      <c r="C190" s="64">
        <v>471.43524757931834</v>
      </c>
      <c r="D190" s="6"/>
    </row>
    <row r="191" spans="1:4">
      <c r="A191" s="11" t="s">
        <v>339</v>
      </c>
      <c r="B191" s="11">
        <v>24.5</v>
      </c>
      <c r="C191" s="64">
        <v>471.43524757931834</v>
      </c>
      <c r="D191" s="6"/>
    </row>
    <row r="192" spans="1:4">
      <c r="A192" s="11" t="s">
        <v>342</v>
      </c>
      <c r="B192" s="11">
        <v>26.5</v>
      </c>
      <c r="C192" s="64">
        <v>551.54586024585808</v>
      </c>
      <c r="D192" s="6"/>
    </row>
    <row r="193" spans="1:4">
      <c r="A193" s="11" t="s">
        <v>345</v>
      </c>
      <c r="B193" s="11">
        <v>30.5</v>
      </c>
      <c r="C193" s="64">
        <v>730.61664150047625</v>
      </c>
      <c r="D193" s="6"/>
    </row>
    <row r="194" spans="1:4">
      <c r="A194" s="11" t="s">
        <v>348</v>
      </c>
      <c r="B194" s="11">
        <v>31.5</v>
      </c>
      <c r="C194" s="64">
        <v>779.31132763111805</v>
      </c>
      <c r="D194" s="6"/>
    </row>
    <row r="195" spans="1:4">
      <c r="A195" s="11" t="s">
        <v>351</v>
      </c>
      <c r="B195" s="11"/>
      <c r="C195" s="64"/>
      <c r="D195" s="6"/>
    </row>
    <row r="196" spans="1:4">
      <c r="A196" s="11" t="s">
        <v>354</v>
      </c>
      <c r="B196" s="11"/>
      <c r="C196" s="64"/>
      <c r="D196" s="6"/>
    </row>
    <row r="197" spans="1:4">
      <c r="A197" s="11" t="s">
        <v>357</v>
      </c>
      <c r="B197" s="11"/>
      <c r="C197" s="64"/>
      <c r="D197" s="6"/>
    </row>
    <row r="198" spans="1:4">
      <c r="A198" s="11" t="s">
        <v>103</v>
      </c>
      <c r="B198" s="11">
        <v>12</v>
      </c>
      <c r="C198" s="64">
        <v>113.09733552923255</v>
      </c>
      <c r="D198" s="6"/>
    </row>
    <row r="199" spans="1:4">
      <c r="A199" s="11" t="s">
        <v>108</v>
      </c>
      <c r="B199" s="11">
        <v>12.5</v>
      </c>
      <c r="C199" s="64">
        <v>122.7184630308513</v>
      </c>
      <c r="D199" s="6"/>
    </row>
    <row r="200" spans="1:4">
      <c r="A200" s="11" t="s">
        <v>113</v>
      </c>
      <c r="B200" s="11">
        <v>13.5</v>
      </c>
      <c r="C200" s="64">
        <v>143.13881527918494</v>
      </c>
      <c r="D200" s="6"/>
    </row>
    <row r="201" spans="1:4">
      <c r="A201" s="11" t="s">
        <v>117</v>
      </c>
      <c r="B201" s="11">
        <v>14.5</v>
      </c>
      <c r="C201" s="64">
        <v>165.1299638543135</v>
      </c>
      <c r="D201" s="6"/>
    </row>
    <row r="202" spans="1:4">
      <c r="A202" s="11" t="s">
        <v>121</v>
      </c>
      <c r="B202" s="11">
        <v>15.5</v>
      </c>
      <c r="C202" s="64">
        <v>188.69190875623696</v>
      </c>
      <c r="D202" s="6"/>
    </row>
    <row r="203" spans="1:4">
      <c r="A203" s="11" t="s">
        <v>125</v>
      </c>
      <c r="B203" s="11">
        <v>15.5</v>
      </c>
      <c r="C203" s="64">
        <v>188.69190875623696</v>
      </c>
      <c r="D203" s="6"/>
    </row>
    <row r="204" spans="1:4">
      <c r="A204" s="11" t="s">
        <v>129</v>
      </c>
      <c r="B204" s="11">
        <v>16.5</v>
      </c>
      <c r="C204" s="64">
        <v>213.8246499849553</v>
      </c>
      <c r="D204" s="6"/>
    </row>
    <row r="205" spans="1:4">
      <c r="A205" s="11" t="s">
        <v>133</v>
      </c>
      <c r="B205" s="11">
        <v>18.5</v>
      </c>
      <c r="C205" s="64">
        <v>268.80252142277669</v>
      </c>
      <c r="D205" s="6"/>
    </row>
    <row r="206" spans="1:4">
      <c r="A206" s="11" t="s">
        <v>137</v>
      </c>
      <c r="B206" s="11">
        <v>18.5</v>
      </c>
      <c r="C206" s="64">
        <v>268.80252142277669</v>
      </c>
      <c r="D206" s="6"/>
    </row>
    <row r="207" spans="1:4">
      <c r="A207" s="11" t="s">
        <v>141</v>
      </c>
      <c r="B207" s="11">
        <v>20.5</v>
      </c>
      <c r="C207" s="64">
        <v>330.06357816777762</v>
      </c>
      <c r="D207" s="6"/>
    </row>
    <row r="208" spans="1:4">
      <c r="A208" s="11" t="s">
        <v>145</v>
      </c>
      <c r="B208" s="11">
        <v>22</v>
      </c>
      <c r="C208" s="64">
        <v>380.13271108436498</v>
      </c>
      <c r="D208" s="6"/>
    </row>
    <row r="209" spans="1:4">
      <c r="A209" s="11" t="s">
        <v>149</v>
      </c>
      <c r="B209" s="11">
        <v>26</v>
      </c>
      <c r="C209" s="64">
        <v>530.92915845667505</v>
      </c>
      <c r="D209" s="6"/>
    </row>
    <row r="210" spans="1:4">
      <c r="A210" s="11" t="s">
        <v>158</v>
      </c>
      <c r="B210" s="11">
        <v>13</v>
      </c>
      <c r="C210" s="64">
        <v>132.73228961416876</v>
      </c>
      <c r="D210" s="6"/>
    </row>
    <row r="211" spans="1:4">
      <c r="A211" s="11" t="s">
        <v>164</v>
      </c>
      <c r="B211" s="11">
        <v>13.5</v>
      </c>
      <c r="C211" s="64">
        <v>143.13881527918494</v>
      </c>
      <c r="D211" s="6"/>
    </row>
    <row r="212" spans="1:4">
      <c r="A212" s="11" t="s">
        <v>170</v>
      </c>
      <c r="B212" s="11">
        <v>14.5</v>
      </c>
      <c r="C212" s="64">
        <v>165.1299638543135</v>
      </c>
      <c r="D212" s="6"/>
    </row>
    <row r="213" spans="1:4">
      <c r="A213" s="11" t="s">
        <v>175</v>
      </c>
      <c r="B213" s="11">
        <v>15.5</v>
      </c>
      <c r="C213" s="64">
        <v>188.69190875623696</v>
      </c>
      <c r="D213" s="6"/>
    </row>
    <row r="214" spans="1:4">
      <c r="A214" s="11" t="s">
        <v>179</v>
      </c>
      <c r="B214" s="11">
        <v>16.5</v>
      </c>
      <c r="C214" s="64">
        <v>213.8246499849553</v>
      </c>
      <c r="D214" s="6"/>
    </row>
    <row r="215" spans="1:4">
      <c r="A215" s="11" t="s">
        <v>183</v>
      </c>
      <c r="B215" s="11">
        <v>16.5</v>
      </c>
      <c r="C215" s="64">
        <v>213.8246499849553</v>
      </c>
      <c r="D215" s="6"/>
    </row>
    <row r="216" spans="1:4">
      <c r="A216" s="11" t="s">
        <v>187</v>
      </c>
      <c r="B216" s="11">
        <v>17.5</v>
      </c>
      <c r="C216" s="64">
        <v>240.52818754046854</v>
      </c>
      <c r="D216" s="6"/>
    </row>
    <row r="217" spans="1:4">
      <c r="A217" s="11" t="s">
        <v>191</v>
      </c>
      <c r="B217" s="11">
        <v>20.5</v>
      </c>
      <c r="C217" s="64">
        <v>330.06357816777762</v>
      </c>
      <c r="D217" s="6"/>
    </row>
    <row r="218" spans="1:4">
      <c r="A218" s="11" t="s">
        <v>195</v>
      </c>
      <c r="B218" s="11">
        <v>20.5</v>
      </c>
      <c r="C218" s="64">
        <v>330.06357816777762</v>
      </c>
      <c r="D218" s="6"/>
    </row>
    <row r="219" spans="1:4">
      <c r="A219" s="11" t="s">
        <v>199</v>
      </c>
      <c r="B219" s="11">
        <v>22.5</v>
      </c>
      <c r="C219" s="64">
        <v>397.60782021995817</v>
      </c>
      <c r="D219" s="6"/>
    </row>
    <row r="220" spans="1:4">
      <c r="A220" s="11" t="s">
        <v>203</v>
      </c>
      <c r="B220" s="11">
        <v>25</v>
      </c>
      <c r="C220" s="64">
        <v>490.87385212340519</v>
      </c>
      <c r="D220" s="6"/>
    </row>
    <row r="221" spans="1:4">
      <c r="A221" s="11" t="s">
        <v>207</v>
      </c>
      <c r="B221" s="11">
        <v>25</v>
      </c>
      <c r="C221" s="64">
        <v>490.87385212340519</v>
      </c>
      <c r="D221" s="6"/>
    </row>
    <row r="222" spans="1:4">
      <c r="A222" s="11" t="s">
        <v>216</v>
      </c>
      <c r="B222" s="11">
        <v>14.5</v>
      </c>
      <c r="C222" s="64">
        <v>165.1299638543135</v>
      </c>
      <c r="D222" s="6"/>
    </row>
    <row r="223" spans="1:4">
      <c r="A223" s="11" t="s">
        <v>222</v>
      </c>
      <c r="B223" s="11">
        <v>15.5</v>
      </c>
      <c r="C223" s="64">
        <v>188.69190875623696</v>
      </c>
      <c r="D223" s="6"/>
    </row>
    <row r="224" spans="1:4">
      <c r="A224" s="11" t="s">
        <v>228</v>
      </c>
      <c r="B224" s="11">
        <v>16.5</v>
      </c>
      <c r="C224" s="64">
        <v>213.8246499849553</v>
      </c>
      <c r="D224" s="6"/>
    </row>
    <row r="225" spans="1:4">
      <c r="A225" s="11" t="s">
        <v>233</v>
      </c>
      <c r="B225" s="11">
        <v>18</v>
      </c>
      <c r="C225" s="64">
        <v>254.46900494077323</v>
      </c>
      <c r="D225" s="6"/>
    </row>
    <row r="226" spans="1:4">
      <c r="A226" s="11" t="s">
        <v>237</v>
      </c>
      <c r="B226" s="11">
        <v>19.5</v>
      </c>
      <c r="C226" s="64">
        <v>298.64765163187968</v>
      </c>
      <c r="D226" s="6"/>
    </row>
    <row r="227" spans="1:4">
      <c r="A227" s="11" t="s">
        <v>241</v>
      </c>
      <c r="B227" s="11">
        <v>19.5</v>
      </c>
      <c r="C227" s="64">
        <v>298.64765163187968</v>
      </c>
      <c r="D227" s="6"/>
    </row>
    <row r="228" spans="1:4">
      <c r="A228" s="11" t="s">
        <v>245</v>
      </c>
      <c r="B228" s="11">
        <v>21.5</v>
      </c>
      <c r="C228" s="64">
        <v>363.05030103047045</v>
      </c>
      <c r="D228" s="6"/>
    </row>
    <row r="229" spans="1:4">
      <c r="A229" s="11" t="s">
        <v>249</v>
      </c>
      <c r="B229" s="11">
        <v>24.5</v>
      </c>
      <c r="C229" s="64">
        <v>471.43524757931834</v>
      </c>
      <c r="D229" s="6"/>
    </row>
    <row r="230" spans="1:4">
      <c r="A230" s="11" t="s">
        <v>253</v>
      </c>
      <c r="B230" s="11">
        <v>25.5</v>
      </c>
      <c r="C230" s="64">
        <v>510.70515574919074</v>
      </c>
      <c r="D230" s="6"/>
    </row>
    <row r="231" spans="1:4">
      <c r="A231" s="11" t="s">
        <v>257</v>
      </c>
      <c r="B231" s="11">
        <v>27.5</v>
      </c>
      <c r="C231" s="64">
        <v>593.95736106932031</v>
      </c>
      <c r="D231" s="6"/>
    </row>
    <row r="232" spans="1:4">
      <c r="A232" s="11" t="s">
        <v>261</v>
      </c>
      <c r="B232" s="11">
        <v>30</v>
      </c>
      <c r="C232" s="64">
        <v>706.85834705770344</v>
      </c>
      <c r="D232" s="6"/>
    </row>
    <row r="233" spans="1:4">
      <c r="A233" s="11" t="s">
        <v>265</v>
      </c>
      <c r="B233" s="11">
        <v>36</v>
      </c>
      <c r="C233" s="64">
        <v>1017.8760197630929</v>
      </c>
      <c r="D233" s="6"/>
    </row>
    <row r="234" spans="1:4">
      <c r="A234" s="11" t="s">
        <v>274</v>
      </c>
      <c r="B234" s="11">
        <v>16</v>
      </c>
      <c r="C234" s="64">
        <v>201.06192982974676</v>
      </c>
      <c r="D234" s="6"/>
    </row>
    <row r="235" spans="1:4">
      <c r="A235" s="11" t="s">
        <v>279</v>
      </c>
      <c r="B235" s="11">
        <v>17</v>
      </c>
      <c r="C235" s="64">
        <v>226.98006922186255</v>
      </c>
      <c r="D235" s="6"/>
    </row>
    <row r="236" spans="1:4">
      <c r="A236" s="11" t="s">
        <v>284</v>
      </c>
      <c r="B236" s="11">
        <v>18</v>
      </c>
      <c r="C236" s="64">
        <v>254.46900494077323</v>
      </c>
      <c r="D236" s="6"/>
    </row>
    <row r="237" spans="1:4">
      <c r="A237" s="11" t="s">
        <v>288</v>
      </c>
      <c r="B237" s="11">
        <v>19.5</v>
      </c>
      <c r="C237" s="64">
        <v>298.64765163187968</v>
      </c>
      <c r="D237" s="6"/>
    </row>
    <row r="238" spans="1:4">
      <c r="A238" s="11" t="s">
        <v>291</v>
      </c>
      <c r="B238" s="11">
        <v>21.5</v>
      </c>
      <c r="C238" s="64">
        <v>363.05030103047045</v>
      </c>
      <c r="D238" s="6"/>
    </row>
    <row r="239" spans="1:4">
      <c r="A239" s="11" t="s">
        <v>294</v>
      </c>
      <c r="B239" s="11">
        <v>21.5</v>
      </c>
      <c r="C239" s="64">
        <v>363.05030103047045</v>
      </c>
      <c r="D239" s="6"/>
    </row>
    <row r="240" spans="1:4">
      <c r="A240" s="11" t="s">
        <v>297</v>
      </c>
      <c r="B240" s="11">
        <v>23.5</v>
      </c>
      <c r="C240" s="64">
        <v>433.73613573624084</v>
      </c>
      <c r="D240" s="6"/>
    </row>
    <row r="241" spans="1:4">
      <c r="A241" s="11" t="s">
        <v>300</v>
      </c>
      <c r="B241" s="11">
        <v>26.5</v>
      </c>
      <c r="C241" s="64">
        <v>551.54586024585808</v>
      </c>
      <c r="D241" s="6"/>
    </row>
    <row r="242" spans="1:4">
      <c r="A242" s="11" t="s">
        <v>303</v>
      </c>
      <c r="B242" s="11">
        <v>27.5</v>
      </c>
      <c r="C242" s="64">
        <v>593.95736106932031</v>
      </c>
      <c r="D242" s="6"/>
    </row>
    <row r="243" spans="1:4">
      <c r="A243" s="11" t="s">
        <v>306</v>
      </c>
      <c r="B243" s="11">
        <v>29.5</v>
      </c>
      <c r="C243" s="64">
        <v>683.4927516966294</v>
      </c>
      <c r="D243" s="6"/>
    </row>
    <row r="244" spans="1:4">
      <c r="A244" s="11" t="s">
        <v>309</v>
      </c>
      <c r="B244" s="11">
        <v>33</v>
      </c>
      <c r="C244" s="64">
        <v>855.2985999398212</v>
      </c>
      <c r="D244" s="6"/>
    </row>
    <row r="245" spans="1:4">
      <c r="A245" s="11" t="s">
        <v>312</v>
      </c>
      <c r="B245" s="11"/>
      <c r="C245" s="64"/>
      <c r="D245" s="6"/>
    </row>
    <row r="246" spans="1:4">
      <c r="A246" s="11" t="s">
        <v>320</v>
      </c>
      <c r="B246" s="11">
        <v>17.5</v>
      </c>
      <c r="C246" s="64">
        <v>240.52818754046854</v>
      </c>
      <c r="D246" s="6"/>
    </row>
    <row r="247" spans="1:4">
      <c r="A247" s="11" t="s">
        <v>325</v>
      </c>
      <c r="B247" s="11">
        <v>18.5</v>
      </c>
      <c r="C247" s="64">
        <v>268.80252142277669</v>
      </c>
      <c r="D247" s="6"/>
    </row>
    <row r="248" spans="1:4">
      <c r="A248" s="11" t="s">
        <v>330</v>
      </c>
      <c r="B248" s="11">
        <v>20.5</v>
      </c>
      <c r="C248" s="64">
        <v>330.06357816777762</v>
      </c>
      <c r="D248" s="6"/>
    </row>
    <row r="249" spans="1:4">
      <c r="A249" s="11" t="s">
        <v>334</v>
      </c>
      <c r="B249" s="11">
        <v>22.5</v>
      </c>
      <c r="C249" s="64">
        <v>397.60782021995817</v>
      </c>
      <c r="D249" s="6"/>
    </row>
    <row r="250" spans="1:4">
      <c r="A250" s="11" t="s">
        <v>337</v>
      </c>
      <c r="B250" s="11">
        <v>24.5</v>
      </c>
      <c r="C250" s="64">
        <v>471.43524757931834</v>
      </c>
      <c r="D250" s="6"/>
    </row>
    <row r="251" spans="1:4">
      <c r="A251" s="11" t="s">
        <v>340</v>
      </c>
      <c r="B251" s="11">
        <v>24.5</v>
      </c>
      <c r="C251" s="64">
        <v>471.43524757931834</v>
      </c>
      <c r="D251" s="6"/>
    </row>
    <row r="252" spans="1:4">
      <c r="A252" s="11" t="s">
        <v>343</v>
      </c>
      <c r="B252" s="11">
        <v>26.5</v>
      </c>
      <c r="C252" s="64">
        <v>551.54586024585808</v>
      </c>
      <c r="D252" s="6"/>
    </row>
    <row r="253" spans="1:4">
      <c r="A253" s="11" t="s">
        <v>346</v>
      </c>
      <c r="B253" s="11">
        <v>30.5</v>
      </c>
      <c r="C253" s="64">
        <v>730.61664150047625</v>
      </c>
      <c r="D253" s="6"/>
    </row>
    <row r="254" spans="1:4">
      <c r="A254" s="11" t="s">
        <v>349</v>
      </c>
      <c r="B254" s="11">
        <v>31.5</v>
      </c>
      <c r="C254" s="64">
        <v>779.31132763111805</v>
      </c>
      <c r="D254" s="6"/>
    </row>
    <row r="255" spans="1:4">
      <c r="A255" s="11" t="s">
        <v>352</v>
      </c>
      <c r="B255" s="11"/>
      <c r="C255" s="64"/>
      <c r="D255" s="6"/>
    </row>
    <row r="256" spans="1:4">
      <c r="A256" s="11" t="s">
        <v>355</v>
      </c>
      <c r="B256" s="11"/>
      <c r="C256" s="64"/>
      <c r="D256" s="6"/>
    </row>
    <row r="257" spans="1:4">
      <c r="A257" s="11" t="s">
        <v>358</v>
      </c>
      <c r="B257" s="11"/>
      <c r="C257" s="64"/>
      <c r="D257" s="6"/>
    </row>
    <row r="258" spans="1:4">
      <c r="A258" s="11" t="s">
        <v>104</v>
      </c>
      <c r="B258" s="11">
        <v>11.5</v>
      </c>
      <c r="C258" s="64">
        <v>103.86890710931253</v>
      </c>
      <c r="D258" s="6"/>
    </row>
    <row r="259" spans="1:4">
      <c r="A259" s="11" t="s">
        <v>109</v>
      </c>
      <c r="B259" s="11">
        <v>12</v>
      </c>
      <c r="C259" s="64">
        <v>113.09733552923255</v>
      </c>
      <c r="D259" s="6"/>
    </row>
    <row r="260" spans="1:4">
      <c r="A260" s="11" t="s">
        <v>114</v>
      </c>
      <c r="B260" s="11">
        <v>12.5</v>
      </c>
      <c r="C260" s="64">
        <v>122.7184630308513</v>
      </c>
      <c r="D260" s="6"/>
    </row>
    <row r="261" spans="1:4">
      <c r="A261" s="11" t="s">
        <v>118</v>
      </c>
      <c r="B261" s="11">
        <v>13.5</v>
      </c>
      <c r="C261" s="64">
        <v>143.13881527918494</v>
      </c>
      <c r="D261" s="6"/>
    </row>
    <row r="262" spans="1:4">
      <c r="A262" s="11" t="s">
        <v>122</v>
      </c>
      <c r="B262" s="11">
        <v>14.5</v>
      </c>
      <c r="C262" s="64">
        <v>165.1299638543135</v>
      </c>
      <c r="D262" s="6"/>
    </row>
    <row r="263" spans="1:4">
      <c r="A263" s="11" t="s">
        <v>126</v>
      </c>
      <c r="B263" s="11">
        <v>14.5</v>
      </c>
      <c r="C263" s="64">
        <v>165.1299638543135</v>
      </c>
      <c r="D263" s="6"/>
    </row>
    <row r="264" spans="1:4">
      <c r="A264" s="11" t="s">
        <v>130</v>
      </c>
      <c r="B264" s="11">
        <v>16</v>
      </c>
      <c r="C264" s="64">
        <v>201.06192982974676</v>
      </c>
      <c r="D264" s="6"/>
    </row>
    <row r="265" spans="1:4">
      <c r="A265" s="11" t="s">
        <v>134</v>
      </c>
      <c r="B265" s="11">
        <v>17.5</v>
      </c>
      <c r="C265" s="64">
        <v>240.52818754046854</v>
      </c>
      <c r="D265" s="6"/>
    </row>
    <row r="266" spans="1:4">
      <c r="A266" s="11" t="s">
        <v>138</v>
      </c>
      <c r="B266" s="11">
        <v>18</v>
      </c>
      <c r="C266" s="64">
        <v>254.46900494077323</v>
      </c>
      <c r="D266" s="6"/>
    </row>
    <row r="267" spans="1:4">
      <c r="A267" s="11" t="s">
        <v>142</v>
      </c>
      <c r="B267" s="11">
        <v>20</v>
      </c>
      <c r="C267" s="64">
        <v>314.15926535897933</v>
      </c>
      <c r="D267" s="6"/>
    </row>
    <row r="268" spans="1:4">
      <c r="A268" s="11" t="s">
        <v>146</v>
      </c>
      <c r="B268" s="11">
        <v>22</v>
      </c>
      <c r="C268" s="64">
        <v>380.13271108436498</v>
      </c>
      <c r="D268" s="6"/>
    </row>
    <row r="269" spans="1:4">
      <c r="A269" s="11" t="s">
        <v>150</v>
      </c>
      <c r="B269" s="11">
        <v>25</v>
      </c>
      <c r="C269" s="64">
        <v>490.87385212340519</v>
      </c>
      <c r="D269" s="6"/>
    </row>
    <row r="270" spans="1:4">
      <c r="A270" s="11" t="s">
        <v>159</v>
      </c>
      <c r="B270" s="11">
        <v>12</v>
      </c>
      <c r="C270" s="64">
        <v>113.09733552923255</v>
      </c>
      <c r="D270" s="6"/>
    </row>
    <row r="271" spans="1:4">
      <c r="A271" s="11" t="s">
        <v>165</v>
      </c>
      <c r="B271" s="11">
        <v>13</v>
      </c>
      <c r="C271" s="64">
        <v>132.73228961416876</v>
      </c>
      <c r="D271" s="6"/>
    </row>
    <row r="272" spans="1:4">
      <c r="A272" s="11" t="s">
        <v>171</v>
      </c>
      <c r="B272" s="11">
        <v>13.5</v>
      </c>
      <c r="C272" s="64">
        <v>143.13881527918494</v>
      </c>
      <c r="D272" s="6"/>
    </row>
    <row r="273" spans="1:4">
      <c r="A273" s="11" t="s">
        <v>176</v>
      </c>
      <c r="B273" s="11">
        <v>14.5</v>
      </c>
      <c r="C273" s="64">
        <v>165.1299638543135</v>
      </c>
      <c r="D273" s="6"/>
    </row>
    <row r="274" spans="1:4">
      <c r="A274" s="11" t="s">
        <v>180</v>
      </c>
      <c r="B274" s="11">
        <v>16</v>
      </c>
      <c r="C274" s="64">
        <v>201.06192982974676</v>
      </c>
      <c r="D274" s="6"/>
    </row>
    <row r="275" spans="1:4">
      <c r="A275" s="11" t="s">
        <v>184</v>
      </c>
      <c r="B275" s="11">
        <v>16</v>
      </c>
      <c r="C275" s="64">
        <v>201.06192982974676</v>
      </c>
      <c r="D275" s="6"/>
    </row>
    <row r="276" spans="1:4">
      <c r="A276" s="11" t="s">
        <v>188</v>
      </c>
      <c r="B276" s="11">
        <v>17.5</v>
      </c>
      <c r="C276" s="64">
        <v>240.52818754046854</v>
      </c>
      <c r="D276" s="6"/>
    </row>
    <row r="277" spans="1:4">
      <c r="A277" s="11" t="s">
        <v>192</v>
      </c>
      <c r="B277" s="11">
        <v>19.5</v>
      </c>
      <c r="C277" s="64">
        <v>298.64765163187968</v>
      </c>
      <c r="D277" s="6"/>
    </row>
    <row r="278" spans="1:4">
      <c r="A278" s="11" t="s">
        <v>196</v>
      </c>
      <c r="B278" s="11">
        <v>20</v>
      </c>
      <c r="C278" s="64">
        <v>314.15926535897933</v>
      </c>
      <c r="D278" s="6"/>
    </row>
    <row r="279" spans="1:4">
      <c r="A279" s="11" t="s">
        <v>200</v>
      </c>
      <c r="B279" s="11">
        <v>22</v>
      </c>
      <c r="C279" s="64">
        <v>380.13271108436498</v>
      </c>
      <c r="D279" s="6"/>
    </row>
    <row r="280" spans="1:4">
      <c r="A280" s="11" t="s">
        <v>204</v>
      </c>
      <c r="B280" s="11">
        <v>24</v>
      </c>
      <c r="C280" s="64">
        <v>452.38934211693021</v>
      </c>
      <c r="D280" s="6"/>
    </row>
    <row r="281" spans="1:4">
      <c r="A281" s="11" t="s">
        <v>208</v>
      </c>
      <c r="B281" s="11">
        <v>28</v>
      </c>
      <c r="C281" s="64">
        <v>615.75216010359941</v>
      </c>
      <c r="D281" s="6"/>
    </row>
    <row r="282" spans="1:4">
      <c r="A282" s="11" t="s">
        <v>217</v>
      </c>
      <c r="B282" s="11">
        <v>13.5</v>
      </c>
      <c r="C282" s="64">
        <v>143.13881527918494</v>
      </c>
      <c r="D282" s="6"/>
    </row>
    <row r="283" spans="1:4">
      <c r="A283" s="11" t="s">
        <v>223</v>
      </c>
      <c r="B283" s="11">
        <v>14</v>
      </c>
      <c r="C283" s="64">
        <v>153.93804002589985</v>
      </c>
      <c r="D283" s="6"/>
    </row>
    <row r="284" spans="1:4">
      <c r="A284" s="11" t="s">
        <v>229</v>
      </c>
      <c r="B284" s="11">
        <v>15</v>
      </c>
      <c r="C284" s="64">
        <v>176.71458676442586</v>
      </c>
      <c r="D284" s="6"/>
    </row>
    <row r="285" spans="1:4">
      <c r="A285" s="11" t="s">
        <v>234</v>
      </c>
      <c r="B285" s="11">
        <v>16</v>
      </c>
      <c r="C285" s="64">
        <v>201.06192982974676</v>
      </c>
      <c r="D285" s="6"/>
    </row>
    <row r="286" spans="1:4">
      <c r="A286" s="11" t="s">
        <v>238</v>
      </c>
      <c r="B286" s="11">
        <v>17.5</v>
      </c>
      <c r="C286" s="64">
        <v>240.52818754046854</v>
      </c>
      <c r="D286" s="6"/>
    </row>
    <row r="287" spans="1:4">
      <c r="A287" s="11" t="s">
        <v>242</v>
      </c>
      <c r="B287" s="11">
        <v>17.5</v>
      </c>
      <c r="C287" s="64">
        <v>240.52818754046854</v>
      </c>
      <c r="D287" s="6"/>
    </row>
    <row r="288" spans="1:4">
      <c r="A288" s="11" t="s">
        <v>246</v>
      </c>
      <c r="B288" s="11">
        <v>19</v>
      </c>
      <c r="C288" s="64">
        <v>283.5287369864788</v>
      </c>
      <c r="D288" s="6"/>
    </row>
    <row r="289" spans="1:4">
      <c r="A289" s="11" t="s">
        <v>250</v>
      </c>
      <c r="B289" s="11">
        <v>21.5</v>
      </c>
      <c r="C289" s="64">
        <v>363.05030103047045</v>
      </c>
      <c r="D289" s="6"/>
    </row>
    <row r="290" spans="1:4">
      <c r="A290" s="11" t="s">
        <v>254</v>
      </c>
      <c r="B290" s="11">
        <v>22</v>
      </c>
      <c r="C290" s="64">
        <v>380.13271108436498</v>
      </c>
      <c r="D290" s="6"/>
    </row>
    <row r="291" spans="1:4">
      <c r="A291" s="11" t="s">
        <v>258</v>
      </c>
      <c r="B291" s="11">
        <v>24.5</v>
      </c>
      <c r="C291" s="64">
        <v>471.43524757931834</v>
      </c>
      <c r="D291" s="6"/>
    </row>
    <row r="292" spans="1:4">
      <c r="A292" s="11" t="s">
        <v>262</v>
      </c>
      <c r="B292" s="11">
        <v>27</v>
      </c>
      <c r="C292" s="64">
        <v>572.55526111673976</v>
      </c>
      <c r="D292" s="6"/>
    </row>
    <row r="293" spans="1:4">
      <c r="A293" s="11" t="s">
        <v>266</v>
      </c>
      <c r="B293" s="11">
        <v>31.5</v>
      </c>
      <c r="C293" s="64">
        <v>779.31132763111805</v>
      </c>
      <c r="D293" s="6"/>
    </row>
    <row r="294" spans="1:4">
      <c r="A294" s="11" t="s">
        <v>151</v>
      </c>
      <c r="B294" s="11">
        <v>6.5</v>
      </c>
      <c r="C294" s="64">
        <v>33.183072403542191</v>
      </c>
      <c r="D294" s="6"/>
    </row>
    <row r="295" spans="1:4">
      <c r="A295" s="11" t="s">
        <v>209</v>
      </c>
      <c r="B295" s="11">
        <v>7</v>
      </c>
      <c r="C295" s="64">
        <v>38.484510006474963</v>
      </c>
      <c r="D295" s="6"/>
    </row>
    <row r="296" spans="1:4">
      <c r="A296" s="11" t="s">
        <v>267</v>
      </c>
      <c r="B296" s="11">
        <v>8</v>
      </c>
      <c r="C296" s="64">
        <v>50.26548245743669</v>
      </c>
      <c r="D296" s="6"/>
    </row>
    <row r="297" spans="1:4">
      <c r="A297" s="11" t="s">
        <v>313</v>
      </c>
      <c r="B297" s="11">
        <v>8.5</v>
      </c>
      <c r="C297" s="64">
        <v>56.745017305465637</v>
      </c>
      <c r="D297" s="6"/>
    </row>
    <row r="298" spans="1:4">
      <c r="A298" s="11" t="s">
        <v>359</v>
      </c>
      <c r="B298" s="11">
        <v>9.5</v>
      </c>
      <c r="C298" s="64">
        <v>70.882184246619701</v>
      </c>
      <c r="D298" s="6"/>
    </row>
    <row r="299" spans="1:4">
      <c r="A299" s="11" t="s">
        <v>369</v>
      </c>
      <c r="B299" s="11">
        <v>10</v>
      </c>
      <c r="C299" s="64">
        <v>78.539816339744831</v>
      </c>
      <c r="D299" s="6"/>
    </row>
    <row r="300" spans="1:4">
      <c r="A300" s="11" t="s">
        <v>379</v>
      </c>
      <c r="B300" s="11">
        <v>12</v>
      </c>
      <c r="C300" s="64">
        <v>113.09733552923255</v>
      </c>
      <c r="D300" s="6"/>
    </row>
    <row r="301" spans="1:4">
      <c r="A301" s="11" t="s">
        <v>389</v>
      </c>
      <c r="B301" s="11">
        <v>13</v>
      </c>
      <c r="C301" s="64">
        <v>132.73228961416876</v>
      </c>
      <c r="D301" s="6"/>
    </row>
    <row r="302" spans="1:4">
      <c r="A302" s="11" t="s">
        <v>399</v>
      </c>
      <c r="B302" s="11">
        <v>14.5</v>
      </c>
      <c r="C302" s="64">
        <v>165.1299638543135</v>
      </c>
      <c r="D302" s="6"/>
    </row>
    <row r="303" spans="1:4">
      <c r="A303" s="11" t="s">
        <v>409</v>
      </c>
      <c r="B303" s="11">
        <v>16</v>
      </c>
      <c r="C303" s="64">
        <v>201.06192982974676</v>
      </c>
      <c r="D303" s="6"/>
    </row>
    <row r="304" spans="1:4">
      <c r="A304" s="11" t="s">
        <v>419</v>
      </c>
      <c r="B304" s="11">
        <v>18.5</v>
      </c>
      <c r="C304" s="64">
        <v>268.80252142277669</v>
      </c>
      <c r="D304" s="6"/>
    </row>
    <row r="305" spans="1:4">
      <c r="A305" s="11" t="s">
        <v>429</v>
      </c>
      <c r="B305" s="11">
        <v>20</v>
      </c>
      <c r="C305" s="64">
        <v>314.15926535897933</v>
      </c>
      <c r="D305" s="6"/>
    </row>
    <row r="306" spans="1:4">
      <c r="A306" s="11" t="s">
        <v>439</v>
      </c>
      <c r="B306" s="11">
        <v>22</v>
      </c>
      <c r="C306" s="64">
        <v>380.13271108436498</v>
      </c>
      <c r="D306" s="6"/>
    </row>
    <row r="307" spans="1:4">
      <c r="A307" s="11" t="s">
        <v>449</v>
      </c>
      <c r="B307" s="11">
        <v>25</v>
      </c>
      <c r="C307" s="64">
        <v>490.87385212340519</v>
      </c>
      <c r="D307" s="6"/>
    </row>
    <row r="308" spans="1:4">
      <c r="A308" s="11" t="s">
        <v>459</v>
      </c>
      <c r="B308" s="11">
        <v>28</v>
      </c>
      <c r="C308" s="64">
        <v>615.75216010359941</v>
      </c>
      <c r="D308" s="6"/>
    </row>
    <row r="309" spans="1:4">
      <c r="A309" s="11" t="s">
        <v>469</v>
      </c>
      <c r="B309" s="11">
        <v>30</v>
      </c>
      <c r="C309" s="64">
        <v>706.85834705770344</v>
      </c>
      <c r="D309" s="6"/>
    </row>
    <row r="310" spans="1:4">
      <c r="A310" s="11" t="s">
        <v>477</v>
      </c>
      <c r="B310" s="11">
        <v>34</v>
      </c>
      <c r="C310" s="64">
        <v>907.9202768874502</v>
      </c>
      <c r="D310" s="6"/>
    </row>
    <row r="311" spans="1:4">
      <c r="A311" s="11" t="s">
        <v>485</v>
      </c>
      <c r="B311" s="11">
        <v>38</v>
      </c>
      <c r="C311" s="64">
        <v>1134.1149479459152</v>
      </c>
      <c r="D311" s="6"/>
    </row>
    <row r="312" spans="1:4">
      <c r="A312" s="11" t="s">
        <v>492</v>
      </c>
      <c r="B312" s="11">
        <v>42</v>
      </c>
      <c r="C312" s="64">
        <v>1385.4423602330987</v>
      </c>
      <c r="D312" s="6"/>
    </row>
    <row r="313" spans="1:4">
      <c r="A313" s="11" t="s">
        <v>154</v>
      </c>
      <c r="B313" s="11">
        <v>9</v>
      </c>
      <c r="C313" s="64">
        <v>63.617251235193308</v>
      </c>
      <c r="D313" s="6"/>
    </row>
    <row r="314" spans="1:4">
      <c r="A314" s="11" t="s">
        <v>160</v>
      </c>
      <c r="B314" s="11">
        <v>15</v>
      </c>
      <c r="C314" s="64">
        <v>176.71458676442586</v>
      </c>
      <c r="D314" s="6"/>
    </row>
    <row r="315" spans="1:4">
      <c r="A315" s="11" t="s">
        <v>166</v>
      </c>
      <c r="B315" s="11">
        <v>16</v>
      </c>
      <c r="C315" s="64">
        <v>201.06192982974676</v>
      </c>
      <c r="D315" s="6"/>
    </row>
    <row r="316" spans="1:4">
      <c r="A316" s="11" t="s">
        <v>172</v>
      </c>
      <c r="B316" s="11">
        <v>17</v>
      </c>
      <c r="C316" s="64">
        <v>226.98006922186255</v>
      </c>
      <c r="D316" s="6"/>
    </row>
    <row r="317" spans="1:4">
      <c r="A317" s="11" t="s">
        <v>212</v>
      </c>
      <c r="B317" s="11">
        <v>9.5</v>
      </c>
      <c r="C317" s="64">
        <v>70.882184246619701</v>
      </c>
      <c r="D317" s="6"/>
    </row>
    <row r="318" spans="1:4">
      <c r="A318" s="11" t="s">
        <v>218</v>
      </c>
      <c r="B318" s="11">
        <v>16</v>
      </c>
      <c r="C318" s="64">
        <v>201.06192982974676</v>
      </c>
      <c r="D318" s="6"/>
    </row>
    <row r="319" spans="1:4">
      <c r="A319" s="11" t="s">
        <v>224</v>
      </c>
      <c r="B319" s="11">
        <v>17</v>
      </c>
      <c r="C319" s="64">
        <v>226.98006922186255</v>
      </c>
      <c r="D319" s="6"/>
    </row>
    <row r="320" spans="1:4">
      <c r="A320" s="11" t="s">
        <v>230</v>
      </c>
      <c r="B320" s="11">
        <v>18.5</v>
      </c>
      <c r="C320" s="64">
        <v>268.80252142277669</v>
      </c>
      <c r="D320" s="6"/>
    </row>
    <row r="321" spans="1:4">
      <c r="A321" s="11" t="s">
        <v>270</v>
      </c>
      <c r="B321" s="11">
        <v>10</v>
      </c>
      <c r="C321" s="64">
        <v>78.539816339744831</v>
      </c>
      <c r="D321" s="6"/>
    </row>
    <row r="322" spans="1:4">
      <c r="A322" s="11" t="s">
        <v>275</v>
      </c>
      <c r="B322" s="11">
        <v>17.5</v>
      </c>
      <c r="C322" s="64">
        <v>240.52818754046854</v>
      </c>
      <c r="D322" s="6"/>
    </row>
    <row r="323" spans="1:4">
      <c r="A323" s="11" t="s">
        <v>280</v>
      </c>
      <c r="B323" s="11">
        <v>18.5</v>
      </c>
      <c r="C323" s="64">
        <v>268.80252142277669</v>
      </c>
      <c r="D323" s="6"/>
    </row>
    <row r="324" spans="1:4">
      <c r="A324" s="11" t="s">
        <v>285</v>
      </c>
      <c r="B324" s="11">
        <v>20</v>
      </c>
      <c r="C324" s="64">
        <v>314.15926535897933</v>
      </c>
      <c r="D324" s="6"/>
    </row>
    <row r="325" spans="1:4">
      <c r="A325" s="11" t="s">
        <v>316</v>
      </c>
      <c r="B325" s="11">
        <v>11</v>
      </c>
      <c r="C325" s="64">
        <v>95.033177771091246</v>
      </c>
      <c r="D325" s="6"/>
    </row>
    <row r="326" spans="1:4">
      <c r="A326" s="11" t="s">
        <v>321</v>
      </c>
      <c r="B326" s="11">
        <v>19.5</v>
      </c>
      <c r="C326" s="64">
        <v>298.64765163187968</v>
      </c>
      <c r="D326" s="6"/>
    </row>
    <row r="327" spans="1:4">
      <c r="A327" s="11" t="s">
        <v>326</v>
      </c>
      <c r="B327" s="11">
        <v>20.5</v>
      </c>
      <c r="C327" s="64">
        <v>330.06357816777762</v>
      </c>
      <c r="D327" s="6"/>
    </row>
    <row r="328" spans="1:4">
      <c r="A328" s="11" t="s">
        <v>331</v>
      </c>
      <c r="B328" s="11">
        <v>22.5</v>
      </c>
      <c r="C328" s="64">
        <v>397.60782021995817</v>
      </c>
      <c r="D328" s="6"/>
    </row>
    <row r="329" spans="1:4">
      <c r="A329" s="11" t="s">
        <v>362</v>
      </c>
      <c r="B329" s="11">
        <v>12</v>
      </c>
      <c r="C329" s="64">
        <v>113.09733552923255</v>
      </c>
      <c r="D329" s="6"/>
    </row>
    <row r="330" spans="1:4">
      <c r="A330" s="11" t="s">
        <v>364</v>
      </c>
      <c r="B330" s="11">
        <v>21</v>
      </c>
      <c r="C330" s="64">
        <v>346.36059005827468</v>
      </c>
      <c r="D330" s="6"/>
    </row>
    <row r="331" spans="1:4">
      <c r="A331" s="11" t="s">
        <v>366</v>
      </c>
      <c r="B331" s="11">
        <v>22</v>
      </c>
      <c r="C331" s="64">
        <v>380.13271108436498</v>
      </c>
      <c r="D331" s="6"/>
    </row>
    <row r="332" spans="1:4">
      <c r="A332" s="11" t="s">
        <v>368</v>
      </c>
      <c r="B332" s="11">
        <v>24.5</v>
      </c>
      <c r="C332" s="64">
        <v>471.43524757931834</v>
      </c>
      <c r="D332" s="6"/>
    </row>
    <row r="333" spans="1:4">
      <c r="A333" s="11" t="s">
        <v>372</v>
      </c>
      <c r="B333" s="11">
        <v>13.5</v>
      </c>
      <c r="C333" s="64">
        <v>143.13881527918494</v>
      </c>
      <c r="D333" s="6"/>
    </row>
    <row r="334" spans="1:4">
      <c r="A334" s="11" t="s">
        <v>374</v>
      </c>
      <c r="B334" s="11">
        <v>24.5</v>
      </c>
      <c r="C334" s="64">
        <v>471.43524757931834</v>
      </c>
      <c r="D334" s="6"/>
    </row>
    <row r="335" spans="1:4">
      <c r="A335" s="11" t="s">
        <v>376</v>
      </c>
      <c r="B335" s="11">
        <v>26</v>
      </c>
      <c r="C335" s="64">
        <v>530.92915845667505</v>
      </c>
      <c r="D335" s="6"/>
    </row>
    <row r="336" spans="1:4">
      <c r="A336" s="11" t="s">
        <v>378</v>
      </c>
      <c r="B336" s="11">
        <v>28.5</v>
      </c>
      <c r="C336" s="64">
        <v>637.93965821957738</v>
      </c>
      <c r="D336" s="6"/>
    </row>
    <row r="337" spans="1:4">
      <c r="A337" s="11" t="s">
        <v>382</v>
      </c>
      <c r="B337" s="11">
        <v>15</v>
      </c>
      <c r="C337" s="64">
        <v>176.71458676442586</v>
      </c>
      <c r="D337" s="6"/>
    </row>
    <row r="338" spans="1:4">
      <c r="A338" s="11" t="s">
        <v>384</v>
      </c>
      <c r="B338" s="11">
        <v>26.5</v>
      </c>
      <c r="C338" s="64">
        <v>551.54586024585808</v>
      </c>
      <c r="D338" s="6"/>
    </row>
    <row r="339" spans="1:4">
      <c r="A339" s="11" t="s">
        <v>386</v>
      </c>
      <c r="B339" s="11">
        <v>28.5</v>
      </c>
      <c r="C339" s="64">
        <v>637.93965821957738</v>
      </c>
      <c r="D339" s="6"/>
    </row>
    <row r="340" spans="1:4">
      <c r="A340" s="11" t="s">
        <v>388</v>
      </c>
      <c r="B340" s="11">
        <v>31.5</v>
      </c>
      <c r="C340" s="64">
        <v>779.31132763111805</v>
      </c>
      <c r="D340" s="6"/>
    </row>
    <row r="341" spans="1:4">
      <c r="A341" s="11" t="s">
        <v>392</v>
      </c>
      <c r="B341" s="11">
        <v>16.5</v>
      </c>
      <c r="C341" s="64">
        <v>213.8246499849553</v>
      </c>
      <c r="D341" s="6"/>
    </row>
    <row r="342" spans="1:4">
      <c r="A342" s="11" t="s">
        <v>394</v>
      </c>
      <c r="B342" s="11">
        <v>30</v>
      </c>
      <c r="C342" s="64">
        <v>706.85834705770344</v>
      </c>
      <c r="D342" s="6"/>
    </row>
    <row r="343" spans="1:4">
      <c r="A343" s="11" t="s">
        <v>396</v>
      </c>
      <c r="B343" s="11">
        <v>32</v>
      </c>
      <c r="C343" s="64">
        <v>804.24771931898704</v>
      </c>
      <c r="D343" s="6"/>
    </row>
    <row r="344" spans="1:4">
      <c r="A344" s="11" t="s">
        <v>398</v>
      </c>
      <c r="B344" s="11">
        <v>35.5</v>
      </c>
      <c r="C344" s="64">
        <v>989.79803542163415</v>
      </c>
      <c r="D344" s="6"/>
    </row>
    <row r="345" spans="1:4">
      <c r="A345" s="11" t="s">
        <v>402</v>
      </c>
      <c r="B345" s="11">
        <v>18.5</v>
      </c>
      <c r="C345" s="64">
        <v>268.80252142277669</v>
      </c>
      <c r="D345" s="6"/>
    </row>
    <row r="346" spans="1:4">
      <c r="A346" s="11" t="s">
        <v>404</v>
      </c>
      <c r="B346" s="11">
        <v>34.5</v>
      </c>
      <c r="C346" s="64">
        <v>934.82016398381279</v>
      </c>
      <c r="D346" s="6"/>
    </row>
    <row r="347" spans="1:4">
      <c r="A347" s="11" t="s">
        <v>406</v>
      </c>
      <c r="B347" s="11">
        <v>37</v>
      </c>
      <c r="C347" s="64">
        <v>1075.2100856911068</v>
      </c>
      <c r="D347" s="6"/>
    </row>
    <row r="348" spans="1:4">
      <c r="A348" s="11" t="s">
        <v>408</v>
      </c>
      <c r="B348" s="11">
        <v>41</v>
      </c>
      <c r="C348" s="64">
        <v>1320.2543126711105</v>
      </c>
      <c r="D348" s="6"/>
    </row>
    <row r="349" spans="1:4">
      <c r="A349" s="11" t="s">
        <v>412</v>
      </c>
      <c r="B349" s="11">
        <v>20.5</v>
      </c>
      <c r="C349" s="64">
        <v>330.06357816777762</v>
      </c>
      <c r="D349" s="6"/>
    </row>
    <row r="350" spans="1:4">
      <c r="A350" s="11" t="s">
        <v>414</v>
      </c>
      <c r="B350" s="11">
        <v>38</v>
      </c>
      <c r="C350" s="64">
        <v>1134.1149479459152</v>
      </c>
      <c r="D350" s="6"/>
    </row>
    <row r="351" spans="1:4">
      <c r="A351" s="11" t="s">
        <v>416</v>
      </c>
      <c r="B351" s="11">
        <v>41</v>
      </c>
      <c r="C351" s="64">
        <v>1320.2543126711105</v>
      </c>
      <c r="D351" s="6"/>
    </row>
    <row r="352" spans="1:4">
      <c r="A352" s="11" t="s">
        <v>418</v>
      </c>
      <c r="B352" s="11">
        <v>45.5</v>
      </c>
      <c r="C352" s="64">
        <v>1625.9705477735672</v>
      </c>
      <c r="D352" s="6"/>
    </row>
    <row r="353" spans="1:4">
      <c r="A353" s="11" t="s">
        <v>422</v>
      </c>
      <c r="B353" s="11">
        <v>22.5</v>
      </c>
      <c r="C353" s="64">
        <v>397.60782021995817</v>
      </c>
      <c r="D353" s="6"/>
    </row>
    <row r="354" spans="1:4">
      <c r="A354" s="11" t="s">
        <v>424</v>
      </c>
      <c r="B354" s="11">
        <v>42</v>
      </c>
      <c r="C354" s="64">
        <v>1385.4423602330987</v>
      </c>
      <c r="D354" s="6"/>
    </row>
    <row r="355" spans="1:4">
      <c r="A355" s="11" t="s">
        <v>426</v>
      </c>
      <c r="B355" s="11">
        <v>45.5</v>
      </c>
      <c r="C355" s="64">
        <v>1625.9705477735672</v>
      </c>
      <c r="D355" s="6"/>
    </row>
    <row r="356" spans="1:4">
      <c r="A356" s="11" t="s">
        <v>428</v>
      </c>
      <c r="B356" s="11">
        <v>50.5</v>
      </c>
      <c r="C356" s="64">
        <v>2002.9616662043425</v>
      </c>
      <c r="D356" s="6"/>
    </row>
    <row r="357" spans="1:4">
      <c r="A357" s="11" t="s">
        <v>432</v>
      </c>
      <c r="B357" s="11">
        <v>25</v>
      </c>
      <c r="C357" s="64">
        <v>490.87385212340519</v>
      </c>
      <c r="D357" s="6"/>
    </row>
    <row r="358" spans="1:4">
      <c r="A358" s="11" t="s">
        <v>434</v>
      </c>
      <c r="B358" s="11">
        <v>46.5</v>
      </c>
      <c r="C358" s="64">
        <v>1698.2271788061325</v>
      </c>
      <c r="D358" s="6"/>
    </row>
    <row r="359" spans="1:4">
      <c r="A359" s="11" t="s">
        <v>436</v>
      </c>
      <c r="B359" s="11">
        <v>50.5</v>
      </c>
      <c r="C359" s="64">
        <v>2002.9616662043425</v>
      </c>
      <c r="D359" s="6"/>
    </row>
    <row r="360" spans="1:4">
      <c r="A360" s="11" t="s">
        <v>438</v>
      </c>
      <c r="B360" s="11">
        <v>56</v>
      </c>
      <c r="C360" s="64">
        <v>2463.0086404143976</v>
      </c>
      <c r="D360" s="6"/>
    </row>
    <row r="361" spans="1:4">
      <c r="A361" s="11" t="s">
        <v>442</v>
      </c>
      <c r="B361" s="11">
        <v>27</v>
      </c>
      <c r="C361" s="64">
        <v>572.55526111673976</v>
      </c>
      <c r="D361" s="6"/>
    </row>
    <row r="362" spans="1:4">
      <c r="A362" s="11" t="s">
        <v>444</v>
      </c>
      <c r="B362" s="11">
        <v>51</v>
      </c>
      <c r="C362" s="64">
        <v>2042.8206229967629</v>
      </c>
      <c r="D362" s="6"/>
    </row>
    <row r="363" spans="1:4">
      <c r="A363" s="11" t="s">
        <v>446</v>
      </c>
      <c r="B363" s="11">
        <v>55.5</v>
      </c>
      <c r="C363" s="64">
        <v>2419.2226928049899</v>
      </c>
      <c r="D363" s="6"/>
    </row>
    <row r="364" spans="1:4">
      <c r="A364" s="11" t="s">
        <v>448</v>
      </c>
      <c r="B364" s="11">
        <v>61.5</v>
      </c>
      <c r="C364" s="64">
        <v>2970.5722035099989</v>
      </c>
      <c r="D364" s="6"/>
    </row>
    <row r="365" spans="1:4">
      <c r="A365" s="11" t="s">
        <v>452</v>
      </c>
      <c r="B365" s="11">
        <v>30</v>
      </c>
      <c r="C365" s="64">
        <v>706.85834705770344</v>
      </c>
      <c r="D365" s="6"/>
    </row>
    <row r="366" spans="1:4">
      <c r="A366" s="11" t="s">
        <v>454</v>
      </c>
      <c r="B366" s="11">
        <v>57.5</v>
      </c>
      <c r="C366" s="64">
        <v>2596.7226777328133</v>
      </c>
      <c r="D366" s="6"/>
    </row>
    <row r="367" spans="1:4">
      <c r="A367" s="11" t="s">
        <v>456</v>
      </c>
      <c r="B367" s="11">
        <v>62</v>
      </c>
      <c r="C367" s="64">
        <v>3019.0705400997913</v>
      </c>
      <c r="D367" s="6"/>
    </row>
    <row r="368" spans="1:4">
      <c r="A368" s="11" t="s">
        <v>458</v>
      </c>
      <c r="B368" s="11">
        <v>69</v>
      </c>
      <c r="C368" s="64">
        <v>3739.2806559352512</v>
      </c>
      <c r="D368" s="6"/>
    </row>
    <row r="369" spans="1:4">
      <c r="A369" s="11" t="s">
        <v>462</v>
      </c>
      <c r="B369" s="11">
        <v>33</v>
      </c>
      <c r="C369" s="64">
        <v>855.2985999398212</v>
      </c>
      <c r="D369" s="6"/>
    </row>
    <row r="370" spans="1:4">
      <c r="A370" s="11" t="s">
        <v>464</v>
      </c>
      <c r="B370" s="11">
        <v>63</v>
      </c>
      <c r="C370" s="64">
        <v>3117.2453105244722</v>
      </c>
      <c r="D370" s="6"/>
    </row>
    <row r="371" spans="1:4">
      <c r="A371" s="11" t="s">
        <v>466</v>
      </c>
      <c r="B371" s="11">
        <v>68</v>
      </c>
      <c r="C371" s="64">
        <v>3631.6811075498008</v>
      </c>
      <c r="D371" s="6"/>
    </row>
    <row r="372" spans="1:4">
      <c r="A372" s="11" t="s">
        <v>468</v>
      </c>
      <c r="B372" s="11">
        <v>76</v>
      </c>
      <c r="C372" s="64">
        <v>4536.4597917836609</v>
      </c>
      <c r="D372" s="6"/>
    </row>
    <row r="373" spans="1:4">
      <c r="A373" s="11" t="s">
        <v>472</v>
      </c>
      <c r="B373" s="11">
        <v>36.5</v>
      </c>
      <c r="C373" s="64">
        <v>1046.3467031862506</v>
      </c>
      <c r="D373" s="6"/>
    </row>
    <row r="374" spans="1:4">
      <c r="A374" s="11" t="s">
        <v>474</v>
      </c>
      <c r="B374" s="11"/>
      <c r="C374" s="64"/>
      <c r="D374" s="6"/>
    </row>
    <row r="375" spans="1:4">
      <c r="A375" s="11" t="s">
        <v>480</v>
      </c>
      <c r="B375" s="11">
        <v>41</v>
      </c>
      <c r="C375" s="64">
        <v>1320.2543126711105</v>
      </c>
      <c r="D375" s="6"/>
    </row>
    <row r="376" spans="1:4">
      <c r="A376" s="11" t="s">
        <v>482</v>
      </c>
      <c r="B376" s="11"/>
      <c r="C376" s="64"/>
      <c r="D376" s="6"/>
    </row>
    <row r="377" spans="1:4">
      <c r="A377" s="11" t="s">
        <v>487</v>
      </c>
      <c r="B377" s="11">
        <v>46</v>
      </c>
      <c r="C377" s="64">
        <v>1661.9025137490005</v>
      </c>
      <c r="D377" s="6"/>
    </row>
    <row r="378" spans="1:4">
      <c r="A378" s="11" t="s">
        <v>489</v>
      </c>
      <c r="B378" s="11"/>
      <c r="C378" s="64"/>
      <c r="D378" s="6"/>
    </row>
    <row r="379" spans="1:4">
      <c r="A379" s="11" t="s">
        <v>152</v>
      </c>
      <c r="B379" s="11">
        <v>3.3</v>
      </c>
      <c r="C379" s="64">
        <v>8.55298599939821</v>
      </c>
      <c r="D379" s="6"/>
    </row>
    <row r="380" spans="1:4">
      <c r="A380" s="11" t="s">
        <v>210</v>
      </c>
      <c r="B380" s="11">
        <v>4</v>
      </c>
      <c r="C380" s="64">
        <v>12.566370614359172</v>
      </c>
      <c r="D380" s="6"/>
    </row>
    <row r="381" spans="1:4">
      <c r="A381" s="11" t="s">
        <v>268</v>
      </c>
      <c r="B381" s="11">
        <v>4.5999999999999996</v>
      </c>
      <c r="C381" s="64">
        <v>16.619025137490002</v>
      </c>
      <c r="D381" s="6"/>
    </row>
    <row r="382" spans="1:4">
      <c r="A382" s="11" t="s">
        <v>314</v>
      </c>
      <c r="B382" s="11">
        <v>5.2</v>
      </c>
      <c r="C382" s="64">
        <v>21.237166338267002</v>
      </c>
      <c r="D382" s="6"/>
    </row>
    <row r="383" spans="1:4">
      <c r="A383" s="11" t="s">
        <v>360</v>
      </c>
      <c r="B383" s="11">
        <v>6.7</v>
      </c>
      <c r="C383" s="64">
        <v>35.256523554911453</v>
      </c>
      <c r="D383" s="6"/>
    </row>
    <row r="384" spans="1:4">
      <c r="A384" s="11" t="s">
        <v>370</v>
      </c>
      <c r="B384" s="11">
        <v>7.8</v>
      </c>
      <c r="C384" s="64">
        <v>47.783624261100748</v>
      </c>
      <c r="D384" s="6"/>
    </row>
    <row r="385" spans="1:4">
      <c r="A385" s="11" t="s">
        <v>380</v>
      </c>
      <c r="B385" s="11">
        <v>9.6999999999999993</v>
      </c>
      <c r="C385" s="64">
        <v>73.8981131940659</v>
      </c>
      <c r="D385" s="6"/>
    </row>
    <row r="386" spans="1:4">
      <c r="A386" s="11" t="s">
        <v>390</v>
      </c>
      <c r="B386" s="11">
        <v>10.9</v>
      </c>
      <c r="C386" s="64">
        <v>93.313155793250829</v>
      </c>
      <c r="D386" s="6"/>
    </row>
    <row r="387" spans="1:4">
      <c r="A387" s="11" t="s">
        <v>400</v>
      </c>
      <c r="B387" s="11">
        <v>12.8</v>
      </c>
      <c r="C387" s="64">
        <v>128.67963509103794</v>
      </c>
      <c r="D387" s="6"/>
    </row>
    <row r="388" spans="1:4">
      <c r="A388" s="11" t="s">
        <v>410</v>
      </c>
      <c r="B388" s="11">
        <v>14.6</v>
      </c>
      <c r="C388" s="64">
        <v>167.41547250980008</v>
      </c>
      <c r="D388" s="6"/>
    </row>
    <row r="389" spans="1:4">
      <c r="A389" s="11" t="s">
        <v>420</v>
      </c>
      <c r="B389" s="11">
        <v>17.100000000000001</v>
      </c>
      <c r="C389" s="64">
        <v>229.65827695904787</v>
      </c>
      <c r="D389" s="6"/>
    </row>
    <row r="390" spans="1:4">
      <c r="A390" s="11" t="s">
        <v>430</v>
      </c>
      <c r="B390" s="11">
        <v>18.8</v>
      </c>
      <c r="C390" s="64">
        <v>277.59112687119415</v>
      </c>
      <c r="D390" s="6"/>
    </row>
    <row r="391" spans="1:4">
      <c r="A391" s="11" t="s">
        <v>440</v>
      </c>
      <c r="B391" s="11">
        <v>20.9</v>
      </c>
      <c r="C391" s="64">
        <v>343.06977175363932</v>
      </c>
      <c r="D391" s="6"/>
    </row>
    <row r="392" spans="1:4">
      <c r="A392" s="11" t="s">
        <v>450</v>
      </c>
      <c r="B392" s="11">
        <v>23.3</v>
      </c>
      <c r="C392" s="64">
        <v>426.38480892684066</v>
      </c>
      <c r="D392" s="6"/>
    </row>
    <row r="393" spans="1:4">
      <c r="A393" s="11" t="s">
        <v>460</v>
      </c>
      <c r="B393" s="11">
        <v>26.6</v>
      </c>
      <c r="C393" s="64">
        <v>555.71632449349852</v>
      </c>
      <c r="D393" s="6"/>
    </row>
    <row r="394" spans="1:4">
      <c r="A394" s="11" t="s">
        <v>470</v>
      </c>
      <c r="B394" s="11">
        <v>29.6</v>
      </c>
      <c r="C394" s="64">
        <v>688.1344548423084</v>
      </c>
      <c r="D394" s="1"/>
    </row>
    <row r="395" spans="1:4">
      <c r="A395" s="11" t="s">
        <v>478</v>
      </c>
      <c r="B395" s="11">
        <v>33.200000000000003</v>
      </c>
      <c r="C395" s="64">
        <v>865.69727162320362</v>
      </c>
      <c r="D395" s="1"/>
    </row>
    <row r="396" spans="1:4">
      <c r="A396" s="11"/>
      <c r="B396" s="11"/>
      <c r="C396" s="64"/>
      <c r="D396" s="1"/>
    </row>
    <row r="397" spans="1:4">
      <c r="A397" s="11"/>
      <c r="B397" s="11"/>
      <c r="C397" s="64"/>
      <c r="D397" s="1"/>
    </row>
    <row r="398" spans="1:4">
      <c r="A398" s="11" t="s">
        <v>64</v>
      </c>
      <c r="B398" s="11">
        <v>14.5</v>
      </c>
      <c r="C398" s="64">
        <v>165.1299638543135</v>
      </c>
      <c r="D398" s="1"/>
    </row>
    <row r="399" spans="1:4">
      <c r="A399" s="11" t="s">
        <v>63</v>
      </c>
      <c r="B399" s="11">
        <v>4.9000000000000004</v>
      </c>
      <c r="C399" s="64">
        <v>18.857409903172737</v>
      </c>
      <c r="D399" s="1"/>
    </row>
    <row r="400" spans="1:4">
      <c r="A400" s="11" t="s">
        <v>65</v>
      </c>
      <c r="B400" s="11">
        <v>5.8</v>
      </c>
      <c r="C400" s="64">
        <v>26.420794216690162</v>
      </c>
      <c r="D400" s="1"/>
    </row>
    <row r="401" spans="1:4">
      <c r="A401" s="11"/>
      <c r="B401" s="11"/>
      <c r="C401" s="64"/>
      <c r="D401" s="1"/>
    </row>
    <row r="402" spans="1:4">
      <c r="A402" s="11"/>
      <c r="B402" s="11"/>
      <c r="C402" s="64"/>
      <c r="D402" s="1"/>
    </row>
    <row r="403" spans="1:4">
      <c r="A403" s="11"/>
      <c r="B403" s="11"/>
      <c r="C403" s="64"/>
      <c r="D403" s="1"/>
    </row>
    <row r="404" spans="1:4">
      <c r="A404" s="11"/>
      <c r="B404" s="11"/>
      <c r="C404" s="64"/>
      <c r="D404" s="1"/>
    </row>
    <row r="405" spans="1:4">
      <c r="A405" s="11"/>
      <c r="B405" s="11"/>
      <c r="C405" s="64"/>
      <c r="D405" s="1"/>
    </row>
    <row r="406" spans="1:4">
      <c r="A406" s="11"/>
      <c r="B406" s="11"/>
      <c r="C406" s="64"/>
      <c r="D406" s="1"/>
    </row>
    <row r="407" spans="1:4">
      <c r="A407" s="11"/>
      <c r="B407" s="11"/>
      <c r="C407" s="64"/>
      <c r="D407" s="1"/>
    </row>
    <row r="408" spans="1:4">
      <c r="A408" s="11"/>
      <c r="B408" s="11"/>
      <c r="C408" s="64"/>
      <c r="D408" s="1"/>
    </row>
    <row r="409" spans="1:4">
      <c r="A409" s="11"/>
      <c r="B409" s="11"/>
      <c r="C409" s="64"/>
      <c r="D409" s="1"/>
    </row>
    <row r="410" spans="1:4">
      <c r="A410" s="11"/>
      <c r="B410" s="11"/>
      <c r="C410" s="64"/>
      <c r="D410" s="1"/>
    </row>
    <row r="411" spans="1:4">
      <c r="A411" s="11"/>
      <c r="B411" s="11"/>
      <c r="C411" s="64"/>
      <c r="D411" s="1"/>
    </row>
    <row r="412" spans="1:4">
      <c r="A412" s="11"/>
      <c r="B412" s="11"/>
      <c r="C412" s="64"/>
      <c r="D412" s="1"/>
    </row>
    <row r="413" spans="1:4">
      <c r="A413" s="11"/>
      <c r="B413" s="11"/>
      <c r="C413" s="64"/>
      <c r="D413" s="1"/>
    </row>
  </sheetData>
  <sortState xmlns:xlrd2="http://schemas.microsoft.com/office/spreadsheetml/2017/richdata2" ref="A2:C413">
    <sortCondition ref="A2:A413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681C-7B39-46D7-97F2-912BB2ED1277}">
  <sheetPr codeName="Sheet8">
    <tabColor rgb="FF7030A0"/>
  </sheetPr>
  <dimension ref="A1:F56"/>
  <sheetViews>
    <sheetView showZeros="0" view="pageBreakPreview" zoomScale="90" zoomScaleNormal="100" zoomScaleSheetLayoutView="90" workbookViewId="0">
      <selection activeCell="C21" sqref="C21"/>
    </sheetView>
  </sheetViews>
  <sheetFormatPr defaultColWidth="9" defaultRowHeight="12"/>
  <cols>
    <col min="1" max="3" width="9" style="4"/>
    <col min="4" max="4" width="5" style="4" customWidth="1"/>
    <col min="5" max="16384" width="9" style="3"/>
  </cols>
  <sheetData>
    <row r="1" spans="1:6">
      <c r="A1" s="51" t="s">
        <v>66</v>
      </c>
      <c r="B1" s="52" t="s">
        <v>54</v>
      </c>
      <c r="C1" s="52" t="s">
        <v>61</v>
      </c>
      <c r="D1" s="53"/>
    </row>
    <row r="2" spans="1:6">
      <c r="A2" s="54" t="s">
        <v>55</v>
      </c>
      <c r="B2" s="55">
        <v>16</v>
      </c>
      <c r="C2" s="56">
        <v>254</v>
      </c>
      <c r="D2" s="56"/>
    </row>
    <row r="3" spans="1:6">
      <c r="A3" s="54" t="s">
        <v>55</v>
      </c>
      <c r="B3" s="55">
        <v>22</v>
      </c>
      <c r="C3" s="56">
        <v>380</v>
      </c>
      <c r="D3" s="56"/>
    </row>
    <row r="4" spans="1:6">
      <c r="A4" s="54" t="s">
        <v>55</v>
      </c>
      <c r="B4" s="55">
        <v>28</v>
      </c>
      <c r="C4" s="56">
        <v>615</v>
      </c>
      <c r="D4" s="56"/>
    </row>
    <row r="5" spans="1:6">
      <c r="A5" s="54" t="s">
        <v>55</v>
      </c>
      <c r="B5" s="55">
        <v>36</v>
      </c>
      <c r="C5" s="56">
        <v>962</v>
      </c>
      <c r="D5" s="56"/>
    </row>
    <row r="6" spans="1:6">
      <c r="A6" s="54" t="s">
        <v>55</v>
      </c>
      <c r="B6" s="55">
        <v>42</v>
      </c>
      <c r="C6" s="56">
        <v>1256</v>
      </c>
      <c r="D6" s="56"/>
      <c r="E6" s="4"/>
      <c r="F6" s="4"/>
    </row>
    <row r="7" spans="1:6">
      <c r="A7" s="54" t="s">
        <v>55</v>
      </c>
      <c r="B7" s="55">
        <v>54</v>
      </c>
      <c r="C7" s="56">
        <v>2042</v>
      </c>
      <c r="D7" s="56"/>
    </row>
    <row r="8" spans="1:6">
      <c r="A8" s="54" t="s">
        <v>55</v>
      </c>
      <c r="B8" s="55">
        <v>70</v>
      </c>
      <c r="C8" s="56">
        <v>3524</v>
      </c>
      <c r="D8" s="56"/>
    </row>
    <row r="9" spans="1:6">
      <c r="A9" s="54" t="s">
        <v>55</v>
      </c>
      <c r="B9" s="55">
        <v>82</v>
      </c>
      <c r="C9" s="56">
        <v>4678</v>
      </c>
      <c r="D9" s="56"/>
    </row>
    <row r="10" spans="1:6">
      <c r="A10" s="54" t="s">
        <v>55</v>
      </c>
      <c r="B10" s="55">
        <v>100</v>
      </c>
      <c r="C10" s="56">
        <v>8008</v>
      </c>
      <c r="D10" s="56"/>
    </row>
    <row r="11" spans="1:6">
      <c r="A11" s="54" t="s">
        <v>55</v>
      </c>
      <c r="B11" s="55">
        <v>104</v>
      </c>
      <c r="C11" s="56">
        <v>8328</v>
      </c>
      <c r="D11" s="56"/>
    </row>
    <row r="12" spans="1:6">
      <c r="A12" s="57" t="s">
        <v>56</v>
      </c>
      <c r="B12" s="58">
        <v>16</v>
      </c>
      <c r="C12" s="59">
        <v>201</v>
      </c>
      <c r="D12" s="59"/>
    </row>
    <row r="13" spans="1:6">
      <c r="A13" s="57" t="s">
        <v>56</v>
      </c>
      <c r="B13" s="58">
        <v>22</v>
      </c>
      <c r="C13" s="59">
        <v>380</v>
      </c>
      <c r="D13" s="59"/>
    </row>
    <row r="14" spans="1:6">
      <c r="A14" s="57" t="s">
        <v>56</v>
      </c>
      <c r="B14" s="58">
        <v>28</v>
      </c>
      <c r="C14" s="59">
        <v>615</v>
      </c>
      <c r="D14" s="59"/>
    </row>
    <row r="15" spans="1:6">
      <c r="A15" s="57" t="s">
        <v>56</v>
      </c>
      <c r="B15" s="58">
        <v>36</v>
      </c>
      <c r="C15" s="59">
        <v>1017</v>
      </c>
      <c r="D15" s="59"/>
    </row>
    <row r="16" spans="1:6">
      <c r="A16" s="57" t="s">
        <v>56</v>
      </c>
      <c r="B16" s="58">
        <v>42</v>
      </c>
      <c r="C16" s="59">
        <v>1385</v>
      </c>
      <c r="D16" s="59"/>
    </row>
    <row r="17" spans="1:4">
      <c r="A17" s="54" t="s">
        <v>57</v>
      </c>
      <c r="B17" s="55">
        <v>16</v>
      </c>
      <c r="C17" s="56">
        <v>211</v>
      </c>
      <c r="D17" s="56"/>
    </row>
    <row r="18" spans="1:4">
      <c r="A18" s="54" t="s">
        <v>57</v>
      </c>
      <c r="B18" s="55">
        <v>22</v>
      </c>
      <c r="C18" s="56">
        <v>376</v>
      </c>
      <c r="D18" s="56"/>
    </row>
    <row r="19" spans="1:4">
      <c r="A19" s="54" t="s">
        <v>57</v>
      </c>
      <c r="B19" s="55">
        <v>28</v>
      </c>
      <c r="C19" s="56">
        <v>629</v>
      </c>
      <c r="D19" s="56"/>
    </row>
    <row r="20" spans="1:4">
      <c r="A20" s="54" t="s">
        <v>57</v>
      </c>
      <c r="B20" s="55">
        <v>36</v>
      </c>
      <c r="C20" s="56">
        <v>1069</v>
      </c>
      <c r="D20" s="56"/>
    </row>
    <row r="21" spans="1:4">
      <c r="A21" s="54" t="s">
        <v>57</v>
      </c>
      <c r="B21" s="55">
        <v>42</v>
      </c>
      <c r="C21" s="56">
        <v>1438</v>
      </c>
      <c r="D21" s="56"/>
    </row>
    <row r="22" spans="1:4">
      <c r="A22" s="54" t="s">
        <v>57</v>
      </c>
      <c r="B22" s="55">
        <v>54</v>
      </c>
      <c r="C22" s="56">
        <v>2289</v>
      </c>
      <c r="D22" s="56"/>
    </row>
    <row r="23" spans="1:4">
      <c r="A23" s="54" t="s">
        <v>57</v>
      </c>
      <c r="B23" s="55">
        <v>70</v>
      </c>
      <c r="C23" s="56">
        <v>3803</v>
      </c>
      <c r="D23" s="56"/>
    </row>
    <row r="24" spans="1:4">
      <c r="A24" s="54" t="s">
        <v>57</v>
      </c>
      <c r="B24" s="55">
        <v>82</v>
      </c>
      <c r="C24" s="56">
        <v>5317</v>
      </c>
      <c r="D24" s="56"/>
    </row>
    <row r="25" spans="1:4">
      <c r="A25" s="54" t="s">
        <v>57</v>
      </c>
      <c r="B25" s="55">
        <v>92</v>
      </c>
      <c r="C25" s="56">
        <v>6892</v>
      </c>
      <c r="D25" s="56"/>
    </row>
    <row r="26" spans="1:4">
      <c r="A26" s="54" t="s">
        <v>57</v>
      </c>
      <c r="B26" s="55">
        <v>104</v>
      </c>
      <c r="C26" s="56">
        <v>8887</v>
      </c>
      <c r="D26" s="56"/>
    </row>
    <row r="27" spans="1:4">
      <c r="A27" s="57" t="s">
        <v>58</v>
      </c>
      <c r="B27" s="58">
        <v>10</v>
      </c>
      <c r="C27" s="59">
        <v>74</v>
      </c>
      <c r="D27" s="59"/>
    </row>
    <row r="28" spans="1:4">
      <c r="A28" s="57" t="s">
        <v>58</v>
      </c>
      <c r="B28" s="58">
        <v>12</v>
      </c>
      <c r="C28" s="59">
        <v>117</v>
      </c>
      <c r="D28" s="59"/>
    </row>
    <row r="29" spans="1:4">
      <c r="A29" s="57" t="s">
        <v>58</v>
      </c>
      <c r="B29" s="58">
        <v>16</v>
      </c>
      <c r="C29" s="59">
        <v>196</v>
      </c>
      <c r="D29" s="59"/>
    </row>
    <row r="30" spans="1:4">
      <c r="A30" s="57" t="s">
        <v>58</v>
      </c>
      <c r="B30" s="58">
        <v>22</v>
      </c>
      <c r="C30" s="59">
        <v>340</v>
      </c>
      <c r="D30" s="59"/>
    </row>
    <row r="31" spans="1:4">
      <c r="A31" s="57" t="s">
        <v>58</v>
      </c>
      <c r="B31" s="58">
        <v>28</v>
      </c>
      <c r="C31" s="59">
        <v>547</v>
      </c>
      <c r="D31" s="59"/>
    </row>
    <row r="32" spans="1:4">
      <c r="A32" s="57" t="s">
        <v>58</v>
      </c>
      <c r="B32" s="58">
        <v>36</v>
      </c>
      <c r="C32" s="59">
        <v>962</v>
      </c>
      <c r="D32" s="59"/>
    </row>
    <row r="33" spans="1:4">
      <c r="A33" s="57" t="s">
        <v>58</v>
      </c>
      <c r="B33" s="58">
        <v>42</v>
      </c>
      <c r="C33" s="59">
        <v>1256</v>
      </c>
      <c r="D33" s="59"/>
    </row>
    <row r="34" spans="1:4">
      <c r="A34" s="57" t="s">
        <v>58</v>
      </c>
      <c r="B34" s="58">
        <v>54</v>
      </c>
      <c r="C34" s="59">
        <v>2066</v>
      </c>
      <c r="D34" s="59"/>
    </row>
    <row r="35" spans="1:4">
      <c r="A35" s="57" t="s">
        <v>58</v>
      </c>
      <c r="B35" s="58">
        <v>70</v>
      </c>
      <c r="C35" s="59">
        <v>3106</v>
      </c>
      <c r="D35" s="59"/>
    </row>
    <row r="36" spans="1:4">
      <c r="A36" s="57" t="s">
        <v>58</v>
      </c>
      <c r="B36" s="58">
        <v>82</v>
      </c>
      <c r="C36" s="59">
        <v>4764</v>
      </c>
      <c r="D36" s="59"/>
    </row>
    <row r="37" spans="1:4">
      <c r="A37" s="57" t="s">
        <v>58</v>
      </c>
      <c r="B37" s="58">
        <v>92</v>
      </c>
      <c r="C37" s="59">
        <v>6204</v>
      </c>
      <c r="D37" s="59"/>
    </row>
    <row r="38" spans="1:4">
      <c r="A38" s="57" t="s">
        <v>58</v>
      </c>
      <c r="B38" s="58">
        <v>104</v>
      </c>
      <c r="C38" s="59">
        <v>8103</v>
      </c>
      <c r="D38" s="59"/>
    </row>
    <row r="39" spans="1:4">
      <c r="A39" s="54" t="s">
        <v>59</v>
      </c>
      <c r="B39" s="55">
        <v>30</v>
      </c>
      <c r="C39" s="56">
        <v>707</v>
      </c>
      <c r="D39" s="56"/>
    </row>
    <row r="40" spans="1:4">
      <c r="A40" s="54" t="s">
        <v>59</v>
      </c>
      <c r="B40" s="55">
        <v>40</v>
      </c>
      <c r="C40" s="56">
        <v>1256</v>
      </c>
      <c r="D40" s="56"/>
    </row>
    <row r="41" spans="1:4">
      <c r="A41" s="54" t="s">
        <v>59</v>
      </c>
      <c r="B41" s="55">
        <v>50</v>
      </c>
      <c r="C41" s="56">
        <v>1963</v>
      </c>
      <c r="D41" s="56"/>
    </row>
    <row r="42" spans="1:4">
      <c r="A42" s="54" t="s">
        <v>59</v>
      </c>
      <c r="B42" s="55">
        <v>65</v>
      </c>
      <c r="C42" s="56">
        <v>3317</v>
      </c>
      <c r="D42" s="56"/>
    </row>
    <row r="43" spans="1:4">
      <c r="A43" s="54" t="s">
        <v>59</v>
      </c>
      <c r="B43" s="55">
        <v>80</v>
      </c>
      <c r="C43" s="56">
        <v>5024</v>
      </c>
      <c r="D43" s="56"/>
    </row>
    <row r="44" spans="1:4">
      <c r="A44" s="54" t="s">
        <v>59</v>
      </c>
      <c r="B44" s="55">
        <v>100</v>
      </c>
      <c r="C44" s="56">
        <v>7850</v>
      </c>
      <c r="D44" s="56"/>
    </row>
    <row r="45" spans="1:4">
      <c r="A45" s="54" t="s">
        <v>59</v>
      </c>
      <c r="B45" s="55">
        <v>125</v>
      </c>
      <c r="C45" s="56">
        <v>12266</v>
      </c>
      <c r="D45" s="56"/>
    </row>
    <row r="46" spans="1:4">
      <c r="A46" s="54" t="s">
        <v>59</v>
      </c>
      <c r="B46" s="55">
        <v>150</v>
      </c>
      <c r="C46" s="56">
        <v>17663</v>
      </c>
      <c r="D46" s="56"/>
    </row>
    <row r="47" spans="1:4">
      <c r="A47" s="54" t="s">
        <v>59</v>
      </c>
      <c r="B47" s="55">
        <v>175</v>
      </c>
      <c r="C47" s="56">
        <v>24041</v>
      </c>
      <c r="D47" s="56"/>
    </row>
    <row r="48" spans="1:4">
      <c r="A48" s="57" t="s">
        <v>60</v>
      </c>
      <c r="B48" s="58">
        <v>16</v>
      </c>
      <c r="C48" s="59">
        <v>201</v>
      </c>
      <c r="D48" s="59"/>
    </row>
    <row r="49" spans="1:4">
      <c r="A49" s="57" t="s">
        <v>60</v>
      </c>
      <c r="B49" s="58">
        <v>22</v>
      </c>
      <c r="C49" s="59">
        <v>380</v>
      </c>
      <c r="D49" s="59"/>
    </row>
    <row r="50" spans="1:4">
      <c r="A50" s="57" t="s">
        <v>60</v>
      </c>
      <c r="B50" s="58">
        <v>28</v>
      </c>
      <c r="C50" s="59">
        <v>615</v>
      </c>
      <c r="D50" s="59"/>
    </row>
    <row r="51" spans="1:4">
      <c r="A51" s="57" t="s">
        <v>60</v>
      </c>
      <c r="B51" s="58">
        <v>36</v>
      </c>
      <c r="C51" s="59">
        <v>1134</v>
      </c>
      <c r="D51" s="59"/>
    </row>
    <row r="52" spans="1:4">
      <c r="A52" s="57" t="s">
        <v>60</v>
      </c>
      <c r="B52" s="58">
        <v>42</v>
      </c>
      <c r="C52" s="59">
        <v>1385</v>
      </c>
      <c r="D52" s="59"/>
    </row>
    <row r="53" spans="1:4">
      <c r="A53" s="57" t="s">
        <v>60</v>
      </c>
      <c r="B53" s="58">
        <v>54</v>
      </c>
      <c r="C53" s="59">
        <v>1885</v>
      </c>
      <c r="D53" s="59"/>
    </row>
    <row r="54" spans="1:4">
      <c r="A54" s="57" t="s">
        <v>60</v>
      </c>
      <c r="B54" s="58">
        <v>70</v>
      </c>
      <c r="C54" s="59">
        <v>3317</v>
      </c>
      <c r="D54" s="59"/>
    </row>
    <row r="55" spans="1:4">
      <c r="A55" s="57" t="s">
        <v>60</v>
      </c>
      <c r="B55" s="58">
        <v>82</v>
      </c>
      <c r="C55" s="59">
        <v>4416</v>
      </c>
      <c r="D55" s="59"/>
    </row>
    <row r="56" spans="1:4">
      <c r="A56" s="57" t="s">
        <v>60</v>
      </c>
      <c r="B56" s="58">
        <v>104</v>
      </c>
      <c r="C56" s="59">
        <v>6359</v>
      </c>
      <c r="D56" s="59"/>
    </row>
  </sheetData>
  <phoneticPr fontId="4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3C2B-D5A8-41BC-A279-879F4621BD22}">
  <sheetPr codeName="Sheet22">
    <tabColor rgb="FF7030A0"/>
  </sheetPr>
  <dimension ref="A1:AQ376"/>
  <sheetViews>
    <sheetView showZeros="0" view="pageBreakPreview" zoomScale="90" zoomScaleNormal="100" zoomScaleSheetLayoutView="90" workbookViewId="0">
      <selection activeCell="S1" sqref="S1:T1"/>
    </sheetView>
  </sheetViews>
  <sheetFormatPr defaultColWidth="9" defaultRowHeight="21" customHeight="1"/>
  <cols>
    <col min="1" max="1" width="7.75" style="1" customWidth="1"/>
    <col min="2" max="19" width="6.125" style="1" customWidth="1"/>
    <col min="20" max="20" width="10.625" style="93" customWidth="1"/>
    <col min="21" max="21" width="8.5" style="1" customWidth="1"/>
    <col min="22" max="23" width="6.125" style="1" customWidth="1"/>
    <col min="24" max="24" width="3.875" style="1" customWidth="1"/>
    <col min="25" max="26" width="10.75" style="1" customWidth="1"/>
    <col min="27" max="27" width="3.875" style="1" customWidth="1"/>
    <col min="28" max="30" width="6.5" style="1" customWidth="1"/>
    <col min="31" max="31" width="3.875" style="1" customWidth="1"/>
    <col min="32" max="34" width="5.5" style="1" customWidth="1"/>
    <col min="35" max="35" width="9" style="1"/>
    <col min="36" max="36" width="11.375" style="1" customWidth="1"/>
    <col min="37" max="42" width="7.25" style="1" customWidth="1"/>
    <col min="43" max="43" width="11.125" style="1" customWidth="1"/>
    <col min="44" max="16384" width="9" style="1"/>
  </cols>
  <sheetData>
    <row r="1" spans="1:43" ht="21" customHeight="1">
      <c r="A1" s="50" t="s">
        <v>68</v>
      </c>
      <c r="B1" s="50">
        <v>1</v>
      </c>
      <c r="C1" s="50">
        <v>1</v>
      </c>
      <c r="D1" s="50">
        <v>1</v>
      </c>
      <c r="E1" s="50">
        <v>1</v>
      </c>
      <c r="F1" s="50">
        <v>1</v>
      </c>
      <c r="G1" s="50">
        <v>1</v>
      </c>
      <c r="H1" s="50">
        <v>1</v>
      </c>
      <c r="I1" s="50">
        <v>1</v>
      </c>
      <c r="J1" s="50">
        <v>3</v>
      </c>
      <c r="K1" s="50">
        <v>3</v>
      </c>
      <c r="L1" s="50">
        <v>3</v>
      </c>
      <c r="M1" s="50">
        <v>3</v>
      </c>
      <c r="N1" s="50">
        <v>3</v>
      </c>
      <c r="O1" s="50">
        <v>3</v>
      </c>
      <c r="P1" s="50">
        <v>3</v>
      </c>
      <c r="Q1" s="50">
        <v>3</v>
      </c>
      <c r="R1" s="88"/>
      <c r="S1" s="99" t="s">
        <v>97</v>
      </c>
      <c r="T1" s="101">
        <v>46184</v>
      </c>
      <c r="U1" s="99" t="s">
        <v>98</v>
      </c>
      <c r="V1" s="88"/>
      <c r="W1" s="88"/>
      <c r="Y1" s="69" t="s">
        <v>75</v>
      </c>
      <c r="Z1" s="69"/>
      <c r="AB1" s="72" t="s">
        <v>78</v>
      </c>
      <c r="AC1" s="72"/>
      <c r="AD1" s="73"/>
      <c r="AF1" s="72" t="s">
        <v>81</v>
      </c>
      <c r="AG1" s="72"/>
      <c r="AH1" s="72"/>
    </row>
    <row r="2" spans="1:43" ht="21" customHeight="1">
      <c r="A2" s="63" t="s">
        <v>67</v>
      </c>
      <c r="B2" s="50" t="s">
        <v>8</v>
      </c>
      <c r="C2" s="50" t="s">
        <v>7</v>
      </c>
      <c r="D2" s="50" t="s">
        <v>6</v>
      </c>
      <c r="E2" s="50" t="s">
        <v>5</v>
      </c>
      <c r="F2" s="50" t="s">
        <v>4</v>
      </c>
      <c r="G2" s="50" t="s">
        <v>3</v>
      </c>
      <c r="H2" s="50" t="s">
        <v>2</v>
      </c>
      <c r="I2" s="50" t="s">
        <v>1</v>
      </c>
      <c r="J2" s="50" t="s">
        <v>8</v>
      </c>
      <c r="K2" s="50" t="s">
        <v>7</v>
      </c>
      <c r="L2" s="50" t="s">
        <v>6</v>
      </c>
      <c r="M2" s="50" t="s">
        <v>5</v>
      </c>
      <c r="N2" s="50" t="s">
        <v>4</v>
      </c>
      <c r="O2" s="50" t="s">
        <v>3</v>
      </c>
      <c r="P2" s="50" t="s">
        <v>2</v>
      </c>
      <c r="Q2" s="50" t="s">
        <v>1</v>
      </c>
      <c r="R2" s="88"/>
      <c r="S2" s="88"/>
      <c r="T2" s="92"/>
      <c r="U2" s="88"/>
      <c r="V2" s="88"/>
      <c r="W2" s="88"/>
      <c r="Y2" s="61" t="s">
        <v>76</v>
      </c>
      <c r="Z2" s="61" t="s">
        <v>77</v>
      </c>
      <c r="AB2" s="75"/>
      <c r="AC2" s="75" t="s">
        <v>79</v>
      </c>
      <c r="AD2" s="75" t="s">
        <v>80</v>
      </c>
      <c r="AF2" s="75"/>
      <c r="AG2" s="75" t="s">
        <v>79</v>
      </c>
      <c r="AH2" s="75" t="s">
        <v>80</v>
      </c>
      <c r="AJ2" s="61" t="s">
        <v>88</v>
      </c>
      <c r="AK2" s="61">
        <v>1</v>
      </c>
      <c r="AL2" s="61">
        <v>2</v>
      </c>
      <c r="AM2" s="61">
        <v>3</v>
      </c>
      <c r="AN2" s="61">
        <v>4</v>
      </c>
      <c r="AO2" s="61">
        <v>6</v>
      </c>
      <c r="AP2" s="61">
        <v>9</v>
      </c>
      <c r="AQ2" s="61" t="s">
        <v>89</v>
      </c>
    </row>
    <row r="3" spans="1:43" ht="21" customHeight="1">
      <c r="A3" s="2">
        <v>1.5</v>
      </c>
      <c r="B3" s="61">
        <v>19</v>
      </c>
      <c r="C3" s="61">
        <v>18.5</v>
      </c>
      <c r="D3" s="61">
        <v>23</v>
      </c>
      <c r="E3" s="61">
        <v>22</v>
      </c>
      <c r="F3" s="100">
        <v>25</v>
      </c>
      <c r="G3" s="100">
        <v>27</v>
      </c>
      <c r="H3" s="100">
        <v>26</v>
      </c>
      <c r="I3" s="61">
        <v>0</v>
      </c>
      <c r="J3" s="61">
        <v>17</v>
      </c>
      <c r="K3" s="61">
        <v>16.5</v>
      </c>
      <c r="L3" s="62">
        <v>20</v>
      </c>
      <c r="M3" s="61">
        <v>19.5</v>
      </c>
      <c r="N3" s="100">
        <v>21</v>
      </c>
      <c r="O3" s="100">
        <v>23</v>
      </c>
      <c r="P3" s="100">
        <v>23</v>
      </c>
      <c r="Q3" s="100">
        <v>0</v>
      </c>
      <c r="R3" s="89"/>
      <c r="S3" s="89"/>
      <c r="U3" s="89"/>
      <c r="V3" s="89"/>
      <c r="W3" s="89"/>
      <c r="Y3" s="70">
        <v>38</v>
      </c>
      <c r="Z3" s="70">
        <v>202</v>
      </c>
      <c r="AB3" s="76">
        <v>8</v>
      </c>
      <c r="AC3" s="77">
        <v>79</v>
      </c>
      <c r="AD3" s="77">
        <v>70</v>
      </c>
      <c r="AF3" s="76">
        <v>8</v>
      </c>
      <c r="AG3" s="77">
        <v>70</v>
      </c>
      <c r="AH3" s="77">
        <v>44</v>
      </c>
      <c r="AJ3" s="61" t="s">
        <v>90</v>
      </c>
      <c r="AK3" s="61">
        <v>1</v>
      </c>
      <c r="AL3" s="61">
        <v>0.87</v>
      </c>
      <c r="AM3" s="61">
        <v>0.82</v>
      </c>
      <c r="AN3" s="61">
        <v>0.8</v>
      </c>
      <c r="AO3" s="61">
        <v>0.79</v>
      </c>
      <c r="AP3" s="61">
        <v>0.78</v>
      </c>
      <c r="AQ3" s="61" t="s">
        <v>91</v>
      </c>
    </row>
    <row r="4" spans="1:43" ht="21" customHeight="1">
      <c r="A4" s="2">
        <v>2.5</v>
      </c>
      <c r="B4" s="61">
        <v>26</v>
      </c>
      <c r="C4" s="61">
        <v>25</v>
      </c>
      <c r="D4" s="61">
        <v>31</v>
      </c>
      <c r="E4" s="61">
        <v>30</v>
      </c>
      <c r="F4" s="100">
        <v>33</v>
      </c>
      <c r="G4" s="100">
        <v>35</v>
      </c>
      <c r="H4" s="100">
        <v>36</v>
      </c>
      <c r="I4" s="61">
        <v>0</v>
      </c>
      <c r="J4" s="61">
        <v>23</v>
      </c>
      <c r="K4" s="61">
        <v>22</v>
      </c>
      <c r="L4" s="62">
        <v>28</v>
      </c>
      <c r="M4" s="61">
        <v>26</v>
      </c>
      <c r="N4" s="100">
        <v>28</v>
      </c>
      <c r="O4" s="100">
        <v>30</v>
      </c>
      <c r="P4" s="100">
        <v>32</v>
      </c>
      <c r="Q4" s="100">
        <v>0</v>
      </c>
      <c r="R4" s="89"/>
      <c r="S4" s="89"/>
      <c r="U4" s="89"/>
      <c r="V4" s="89"/>
      <c r="W4" s="89"/>
      <c r="Y4" s="70">
        <v>60</v>
      </c>
      <c r="Z4" s="70">
        <v>265</v>
      </c>
      <c r="AB4" s="76">
        <v>14</v>
      </c>
      <c r="AC4" s="77">
        <v>109</v>
      </c>
      <c r="AD4" s="77">
        <v>94</v>
      </c>
      <c r="AF4" s="76">
        <v>14</v>
      </c>
      <c r="AG4" s="77">
        <v>97</v>
      </c>
      <c r="AH4" s="77">
        <v>61</v>
      </c>
      <c r="AJ4" s="83"/>
      <c r="AK4" s="83"/>
      <c r="AL4" s="83"/>
      <c r="AM4" s="83"/>
      <c r="AN4" s="83"/>
      <c r="AO4" s="83"/>
      <c r="AP4" s="83"/>
      <c r="AQ4" s="84"/>
    </row>
    <row r="5" spans="1:43" ht="21" customHeight="1">
      <c r="A5" s="2">
        <v>4</v>
      </c>
      <c r="B5" s="61">
        <v>35</v>
      </c>
      <c r="C5" s="61">
        <v>33</v>
      </c>
      <c r="D5" s="61">
        <v>42</v>
      </c>
      <c r="E5" s="61">
        <v>40</v>
      </c>
      <c r="F5" s="100">
        <v>43</v>
      </c>
      <c r="G5" s="100">
        <v>46</v>
      </c>
      <c r="H5" s="100">
        <v>49</v>
      </c>
      <c r="I5" s="61">
        <v>0</v>
      </c>
      <c r="J5" s="61">
        <v>31</v>
      </c>
      <c r="K5" s="61">
        <v>30</v>
      </c>
      <c r="L5" s="62">
        <v>37</v>
      </c>
      <c r="M5" s="61">
        <v>35</v>
      </c>
      <c r="N5" s="100">
        <v>36</v>
      </c>
      <c r="O5" s="100">
        <v>39</v>
      </c>
      <c r="P5" s="100">
        <v>42</v>
      </c>
      <c r="Q5" s="100">
        <v>0</v>
      </c>
      <c r="R5" s="89"/>
      <c r="S5" s="89"/>
      <c r="U5" s="89"/>
      <c r="V5" s="89"/>
      <c r="W5" s="89"/>
      <c r="Y5" s="70">
        <v>100</v>
      </c>
      <c r="Z5" s="70">
        <v>352</v>
      </c>
      <c r="AB5" s="76">
        <v>22</v>
      </c>
      <c r="AC5" s="77">
        <v>142</v>
      </c>
      <c r="AD5" s="77">
        <v>121</v>
      </c>
      <c r="AF5" s="76">
        <v>22</v>
      </c>
      <c r="AG5" s="77">
        <v>125</v>
      </c>
      <c r="AH5" s="77">
        <v>76</v>
      </c>
      <c r="AJ5" s="61" t="s">
        <v>88</v>
      </c>
      <c r="AK5" s="61">
        <v>1</v>
      </c>
      <c r="AL5" s="61">
        <v>2</v>
      </c>
      <c r="AM5" s="61">
        <v>3</v>
      </c>
      <c r="AN5" s="61">
        <v>4</v>
      </c>
      <c r="AO5" s="61">
        <v>5</v>
      </c>
      <c r="AP5" s="61">
        <v>6</v>
      </c>
      <c r="AQ5" s="61" t="s">
        <v>89</v>
      </c>
    </row>
    <row r="6" spans="1:43" ht="21" customHeight="1">
      <c r="A6" s="2">
        <v>6</v>
      </c>
      <c r="B6" s="61">
        <v>45</v>
      </c>
      <c r="C6" s="61">
        <v>42</v>
      </c>
      <c r="D6" s="61">
        <v>54</v>
      </c>
      <c r="E6" s="61">
        <v>51</v>
      </c>
      <c r="F6" s="100">
        <v>53</v>
      </c>
      <c r="G6" s="100">
        <v>58</v>
      </c>
      <c r="H6" s="100">
        <v>63</v>
      </c>
      <c r="I6" s="61">
        <v>0</v>
      </c>
      <c r="J6" s="61">
        <v>40</v>
      </c>
      <c r="K6" s="61">
        <v>38</v>
      </c>
      <c r="L6" s="62">
        <v>48</v>
      </c>
      <c r="M6" s="61">
        <v>44</v>
      </c>
      <c r="N6" s="100">
        <v>44</v>
      </c>
      <c r="O6" s="100">
        <v>49</v>
      </c>
      <c r="P6" s="100">
        <v>54</v>
      </c>
      <c r="Q6" s="100">
        <v>0</v>
      </c>
      <c r="R6" s="89"/>
      <c r="S6" s="89"/>
      <c r="U6" s="89"/>
      <c r="V6" s="89"/>
      <c r="W6" s="89"/>
      <c r="Y6" s="71">
        <v>150</v>
      </c>
      <c r="Z6" s="71">
        <v>432</v>
      </c>
      <c r="AB6" s="76">
        <v>38</v>
      </c>
      <c r="AC6" s="77">
        <v>198</v>
      </c>
      <c r="AD6" s="77">
        <v>164</v>
      </c>
      <c r="AF6" s="76">
        <v>38</v>
      </c>
      <c r="AG6" s="77">
        <v>170</v>
      </c>
      <c r="AH6" s="77">
        <v>105</v>
      </c>
      <c r="AJ6" s="61" t="s">
        <v>92</v>
      </c>
      <c r="AK6" s="61">
        <v>1</v>
      </c>
      <c r="AL6" s="61">
        <v>0.8</v>
      </c>
      <c r="AM6" s="61">
        <v>0.7</v>
      </c>
      <c r="AN6" s="61">
        <v>0.65</v>
      </c>
      <c r="AO6" s="61">
        <v>0.6</v>
      </c>
      <c r="AP6" s="61">
        <v>0.6</v>
      </c>
      <c r="AQ6" s="61" t="s">
        <v>93</v>
      </c>
    </row>
    <row r="7" spans="1:43" ht="21" customHeight="1">
      <c r="A7" s="2">
        <v>10</v>
      </c>
      <c r="B7" s="61">
        <v>61</v>
      </c>
      <c r="C7" s="61">
        <v>57</v>
      </c>
      <c r="D7" s="61">
        <v>75</v>
      </c>
      <c r="E7" s="61">
        <v>69</v>
      </c>
      <c r="F7" s="100">
        <v>71</v>
      </c>
      <c r="G7" s="100">
        <v>77</v>
      </c>
      <c r="H7" s="100">
        <v>86</v>
      </c>
      <c r="I7" s="61">
        <v>0</v>
      </c>
      <c r="J7" s="61">
        <v>54</v>
      </c>
      <c r="K7" s="61">
        <v>51</v>
      </c>
      <c r="L7" s="62">
        <v>66</v>
      </c>
      <c r="M7" s="61">
        <v>60</v>
      </c>
      <c r="N7" s="100">
        <v>58</v>
      </c>
      <c r="O7" s="100">
        <v>65</v>
      </c>
      <c r="P7" s="100">
        <v>75</v>
      </c>
      <c r="Q7" s="100">
        <v>0</v>
      </c>
      <c r="R7" s="89"/>
      <c r="S7" s="89"/>
      <c r="U7" s="89"/>
      <c r="V7" s="89"/>
      <c r="W7" s="89"/>
      <c r="Y7" s="70">
        <v>200</v>
      </c>
      <c r="Z7" s="70">
        <v>493</v>
      </c>
      <c r="AB7" s="76">
        <v>60</v>
      </c>
      <c r="AC7" s="77">
        <v>261</v>
      </c>
      <c r="AD7" s="77">
        <v>211</v>
      </c>
      <c r="AF7" s="76">
        <v>60</v>
      </c>
      <c r="AG7" s="77">
        <v>220</v>
      </c>
      <c r="AH7" s="77">
        <v>135</v>
      </c>
      <c r="AJ7" s="61" t="s">
        <v>92</v>
      </c>
      <c r="AK7" s="61">
        <v>1</v>
      </c>
      <c r="AL7" s="61">
        <v>0.85</v>
      </c>
      <c r="AM7" s="61">
        <v>0.75</v>
      </c>
      <c r="AN7" s="61">
        <v>0.7</v>
      </c>
      <c r="AO7" s="61">
        <v>0.65</v>
      </c>
      <c r="AP7" s="61">
        <v>0.6</v>
      </c>
      <c r="AQ7" s="61" t="s">
        <v>94</v>
      </c>
    </row>
    <row r="8" spans="1:43" ht="21" customHeight="1">
      <c r="A8" s="2">
        <v>16</v>
      </c>
      <c r="B8" s="61">
        <v>81</v>
      </c>
      <c r="C8" s="61">
        <v>76</v>
      </c>
      <c r="D8" s="61">
        <v>100</v>
      </c>
      <c r="E8" s="61">
        <v>91</v>
      </c>
      <c r="F8" s="100">
        <v>91</v>
      </c>
      <c r="G8" s="100">
        <v>100</v>
      </c>
      <c r="H8" s="100">
        <v>115</v>
      </c>
      <c r="I8" s="61">
        <v>0</v>
      </c>
      <c r="J8" s="61">
        <v>73</v>
      </c>
      <c r="K8" s="61">
        <v>68</v>
      </c>
      <c r="L8" s="62">
        <v>88</v>
      </c>
      <c r="M8" s="61">
        <v>80</v>
      </c>
      <c r="N8" s="100">
        <v>75</v>
      </c>
      <c r="O8" s="100">
        <v>84</v>
      </c>
      <c r="P8" s="100">
        <v>100</v>
      </c>
      <c r="Q8" s="100">
        <v>0</v>
      </c>
      <c r="R8" s="89"/>
      <c r="S8" s="89"/>
      <c r="U8" s="89"/>
      <c r="V8" s="89"/>
      <c r="W8" s="89"/>
      <c r="Y8" s="70">
        <v>250</v>
      </c>
      <c r="Z8" s="70">
        <v>540</v>
      </c>
      <c r="AB8" s="76">
        <v>100</v>
      </c>
      <c r="AC8" s="77">
        <v>356</v>
      </c>
      <c r="AD8" s="77">
        <v>280</v>
      </c>
      <c r="AF8" s="76">
        <v>100</v>
      </c>
      <c r="AG8" s="77">
        <v>285</v>
      </c>
      <c r="AH8" s="77">
        <v>170</v>
      </c>
    </row>
    <row r="9" spans="1:43" ht="21" customHeight="1">
      <c r="A9" s="2">
        <v>25</v>
      </c>
      <c r="B9" s="61">
        <v>106</v>
      </c>
      <c r="C9" s="61">
        <v>99</v>
      </c>
      <c r="D9" s="61">
        <v>133</v>
      </c>
      <c r="E9" s="61">
        <v>119</v>
      </c>
      <c r="F9" s="100">
        <v>116</v>
      </c>
      <c r="G9" s="100">
        <v>129</v>
      </c>
      <c r="H9" s="100">
        <v>149</v>
      </c>
      <c r="I9" s="100">
        <v>161</v>
      </c>
      <c r="J9" s="61">
        <v>95</v>
      </c>
      <c r="K9" s="61">
        <v>89</v>
      </c>
      <c r="L9" s="62">
        <v>117</v>
      </c>
      <c r="M9" s="61">
        <v>105</v>
      </c>
      <c r="N9" s="100">
        <v>96</v>
      </c>
      <c r="O9" s="100">
        <v>107</v>
      </c>
      <c r="P9" s="100">
        <v>127</v>
      </c>
      <c r="Q9" s="100">
        <v>141</v>
      </c>
      <c r="R9" s="90"/>
      <c r="S9" s="90"/>
      <c r="T9" s="94"/>
      <c r="U9" s="90"/>
      <c r="V9" s="90"/>
      <c r="W9" s="90"/>
      <c r="Y9" s="71">
        <v>325</v>
      </c>
      <c r="Z9" s="71">
        <v>595</v>
      </c>
      <c r="AB9" s="76">
        <v>150</v>
      </c>
      <c r="AC9" s="77">
        <v>456</v>
      </c>
      <c r="AD9" s="77">
        <v>351</v>
      </c>
      <c r="AF9" s="76">
        <v>150</v>
      </c>
      <c r="AG9" s="77">
        <v>375</v>
      </c>
      <c r="AH9" s="77">
        <v>225</v>
      </c>
    </row>
    <row r="10" spans="1:43" ht="21" customHeight="1">
      <c r="A10" s="2">
        <v>35</v>
      </c>
      <c r="B10" s="61">
        <v>131</v>
      </c>
      <c r="C10" s="61">
        <v>121</v>
      </c>
      <c r="D10" s="61">
        <v>164</v>
      </c>
      <c r="E10" s="61">
        <v>146</v>
      </c>
      <c r="F10" s="100">
        <v>139</v>
      </c>
      <c r="G10" s="100">
        <v>155</v>
      </c>
      <c r="H10" s="100">
        <v>185</v>
      </c>
      <c r="I10" s="100">
        <v>200</v>
      </c>
      <c r="J10" s="61">
        <v>117</v>
      </c>
      <c r="K10" s="61">
        <v>109</v>
      </c>
      <c r="L10" s="62">
        <v>144</v>
      </c>
      <c r="M10" s="61">
        <v>128</v>
      </c>
      <c r="N10" s="100">
        <v>115</v>
      </c>
      <c r="O10" s="100">
        <v>129</v>
      </c>
      <c r="P10" s="100">
        <v>158</v>
      </c>
      <c r="Q10" s="100">
        <v>176</v>
      </c>
      <c r="R10" s="90"/>
      <c r="S10" s="90"/>
      <c r="T10" s="94"/>
      <c r="U10" s="90"/>
      <c r="V10" s="90"/>
      <c r="W10" s="90"/>
      <c r="Y10" s="71">
        <v>400</v>
      </c>
      <c r="Z10" s="71">
        <v>650</v>
      </c>
      <c r="AB10" s="76">
        <v>200</v>
      </c>
      <c r="AC10" s="77">
        <v>541</v>
      </c>
      <c r="AD10" s="77">
        <v>409</v>
      </c>
      <c r="AF10" s="76">
        <v>200</v>
      </c>
      <c r="AG10" s="77">
        <v>425</v>
      </c>
      <c r="AH10" s="77">
        <v>250</v>
      </c>
    </row>
    <row r="11" spans="1:43" ht="21" customHeight="1">
      <c r="A11" s="2">
        <v>50</v>
      </c>
      <c r="B11" s="61">
        <v>158</v>
      </c>
      <c r="C11" s="61">
        <v>145</v>
      </c>
      <c r="D11" s="61">
        <v>198</v>
      </c>
      <c r="E11" s="61">
        <v>175</v>
      </c>
      <c r="F11" s="100">
        <v>164</v>
      </c>
      <c r="G11" s="100">
        <v>183</v>
      </c>
      <c r="H11" s="100">
        <v>225</v>
      </c>
      <c r="I11" s="100">
        <v>242</v>
      </c>
      <c r="J11" s="61">
        <v>141</v>
      </c>
      <c r="K11" s="61">
        <v>130</v>
      </c>
      <c r="L11" s="62">
        <v>175</v>
      </c>
      <c r="M11" s="61">
        <v>154</v>
      </c>
      <c r="N11" s="100">
        <v>135</v>
      </c>
      <c r="O11" s="100">
        <v>153</v>
      </c>
      <c r="P11" s="100">
        <v>192</v>
      </c>
      <c r="Q11" s="100">
        <v>216</v>
      </c>
      <c r="R11" s="90"/>
      <c r="S11" s="90"/>
      <c r="T11" s="94"/>
      <c r="U11" s="90"/>
      <c r="V11" s="90"/>
      <c r="W11" s="90"/>
      <c r="Y11" s="71">
        <v>500</v>
      </c>
      <c r="Z11" s="71">
        <v>710</v>
      </c>
      <c r="AB11" s="76">
        <v>250</v>
      </c>
      <c r="AC11" s="77">
        <v>616</v>
      </c>
      <c r="AD11" s="77">
        <v>459</v>
      </c>
      <c r="AF11" s="76">
        <v>250</v>
      </c>
      <c r="AG11" s="77">
        <v>495</v>
      </c>
      <c r="AH11" s="77">
        <v>290</v>
      </c>
    </row>
    <row r="12" spans="1:43" ht="21" customHeight="1">
      <c r="A12" s="2">
        <v>70</v>
      </c>
      <c r="B12" s="61">
        <v>200</v>
      </c>
      <c r="C12" s="61">
        <v>183</v>
      </c>
      <c r="D12" s="61">
        <v>253</v>
      </c>
      <c r="E12" s="61">
        <v>221</v>
      </c>
      <c r="F12" s="100">
        <v>203</v>
      </c>
      <c r="G12" s="100">
        <v>225</v>
      </c>
      <c r="H12" s="100">
        <v>289</v>
      </c>
      <c r="I12" s="100">
        <v>310</v>
      </c>
      <c r="J12" s="61">
        <v>179</v>
      </c>
      <c r="K12" s="61">
        <v>164</v>
      </c>
      <c r="L12" s="62">
        <v>222</v>
      </c>
      <c r="M12" s="61">
        <v>194</v>
      </c>
      <c r="N12" s="100">
        <v>167</v>
      </c>
      <c r="O12" s="100">
        <v>188</v>
      </c>
      <c r="P12" s="100">
        <v>246</v>
      </c>
      <c r="Q12" s="100">
        <v>279</v>
      </c>
      <c r="R12" s="90"/>
      <c r="S12" s="90"/>
      <c r="T12" s="94"/>
      <c r="U12" s="90"/>
      <c r="V12" s="90"/>
      <c r="W12" s="90"/>
      <c r="Y12" s="70">
        <v>600</v>
      </c>
      <c r="Z12" s="70">
        <v>761</v>
      </c>
      <c r="AB12" s="76">
        <v>325</v>
      </c>
      <c r="AC12" s="77">
        <v>721</v>
      </c>
      <c r="AD12" s="77">
        <v>528</v>
      </c>
      <c r="AF12" s="76">
        <v>325</v>
      </c>
      <c r="AG12" s="77">
        <v>560</v>
      </c>
      <c r="AH12" s="77">
        <v>335</v>
      </c>
    </row>
    <row r="13" spans="1:43" ht="21" customHeight="1">
      <c r="A13" s="2">
        <v>95</v>
      </c>
      <c r="B13" s="61">
        <v>241</v>
      </c>
      <c r="C13" s="61">
        <v>220</v>
      </c>
      <c r="D13" s="61">
        <v>306</v>
      </c>
      <c r="E13" s="61">
        <v>265</v>
      </c>
      <c r="F13" s="100">
        <v>239</v>
      </c>
      <c r="G13" s="100">
        <v>270</v>
      </c>
      <c r="H13" s="100">
        <v>352</v>
      </c>
      <c r="I13" s="100">
        <v>377</v>
      </c>
      <c r="J13" s="61">
        <v>216</v>
      </c>
      <c r="K13" s="61">
        <v>197</v>
      </c>
      <c r="L13" s="62">
        <v>269</v>
      </c>
      <c r="M13" s="61">
        <v>233</v>
      </c>
      <c r="N13" s="100">
        <v>197</v>
      </c>
      <c r="O13" s="100">
        <v>226</v>
      </c>
      <c r="P13" s="100">
        <v>298</v>
      </c>
      <c r="Q13" s="100">
        <v>342</v>
      </c>
      <c r="R13" s="90"/>
      <c r="S13" s="90"/>
      <c r="T13" s="94"/>
      <c r="U13" s="90"/>
      <c r="V13" s="90"/>
      <c r="W13" s="90"/>
      <c r="Y13" s="70">
        <v>800</v>
      </c>
      <c r="Z13" s="70">
        <v>810</v>
      </c>
      <c r="AB13" s="76">
        <v>400</v>
      </c>
      <c r="AC13" s="77">
        <v>814</v>
      </c>
      <c r="AD13" s="77"/>
      <c r="AF13" s="76">
        <v>400</v>
      </c>
      <c r="AG13" s="77">
        <v>630</v>
      </c>
      <c r="AH13" s="77"/>
    </row>
    <row r="14" spans="1:43" ht="21" customHeight="1">
      <c r="A14" s="2">
        <v>120</v>
      </c>
      <c r="B14" s="61">
        <v>278</v>
      </c>
      <c r="C14" s="61">
        <v>253</v>
      </c>
      <c r="D14" s="61">
        <v>354</v>
      </c>
      <c r="E14" s="61">
        <v>305</v>
      </c>
      <c r="F14" s="100">
        <v>271</v>
      </c>
      <c r="G14" s="100">
        <v>306</v>
      </c>
      <c r="H14" s="100">
        <v>410</v>
      </c>
      <c r="I14" s="100">
        <v>437</v>
      </c>
      <c r="J14" s="61">
        <v>249</v>
      </c>
      <c r="K14" s="61">
        <v>227</v>
      </c>
      <c r="L14" s="62">
        <v>312</v>
      </c>
      <c r="M14" s="61">
        <v>268</v>
      </c>
      <c r="N14" s="100">
        <v>223</v>
      </c>
      <c r="O14" s="100">
        <v>257</v>
      </c>
      <c r="P14" s="100">
        <v>346</v>
      </c>
      <c r="Q14" s="100">
        <v>400</v>
      </c>
      <c r="R14" s="90"/>
      <c r="S14" s="90"/>
      <c r="T14" s="94"/>
      <c r="U14" s="90"/>
      <c r="V14" s="90"/>
      <c r="W14" s="90"/>
      <c r="AB14" s="76">
        <v>500</v>
      </c>
      <c r="AC14" s="77">
        <v>934</v>
      </c>
      <c r="AD14" s="77"/>
      <c r="AF14" s="76">
        <v>500</v>
      </c>
      <c r="AG14" s="77">
        <v>735</v>
      </c>
      <c r="AH14" s="77"/>
    </row>
    <row r="15" spans="1:43" ht="21" customHeight="1">
      <c r="A15" s="2">
        <v>150</v>
      </c>
      <c r="B15" s="61">
        <v>318</v>
      </c>
      <c r="C15" s="61">
        <v>290</v>
      </c>
      <c r="D15" s="61">
        <v>393</v>
      </c>
      <c r="E15" s="61">
        <v>334</v>
      </c>
      <c r="F15" s="100">
        <v>306</v>
      </c>
      <c r="G15" s="100">
        <v>343</v>
      </c>
      <c r="H15" s="100">
        <v>473</v>
      </c>
      <c r="I15" s="100">
        <v>504</v>
      </c>
      <c r="J15" s="61">
        <v>285</v>
      </c>
      <c r="K15" s="61">
        <v>259</v>
      </c>
      <c r="L15" s="62">
        <v>342</v>
      </c>
      <c r="M15" s="61">
        <v>300</v>
      </c>
      <c r="N15" s="100">
        <v>251</v>
      </c>
      <c r="O15" s="100">
        <v>287</v>
      </c>
      <c r="P15" s="100">
        <v>399</v>
      </c>
      <c r="Q15" s="100">
        <v>464</v>
      </c>
      <c r="R15" s="90"/>
      <c r="S15" s="90"/>
      <c r="T15" s="94"/>
      <c r="U15" s="90"/>
      <c r="V15" s="90"/>
      <c r="W15" s="90"/>
      <c r="AB15" s="76">
        <v>600</v>
      </c>
      <c r="AC15" s="77">
        <v>1035</v>
      </c>
      <c r="AD15" s="77"/>
      <c r="AF15" s="76">
        <v>600</v>
      </c>
      <c r="AG15" s="77">
        <v>800</v>
      </c>
      <c r="AH15" s="77"/>
    </row>
    <row r="16" spans="1:43" ht="21" customHeight="1">
      <c r="A16" s="2">
        <v>185</v>
      </c>
      <c r="B16" s="61">
        <v>362</v>
      </c>
      <c r="C16" s="61">
        <v>329</v>
      </c>
      <c r="D16" s="61">
        <v>449</v>
      </c>
      <c r="E16" s="61">
        <v>384</v>
      </c>
      <c r="F16" s="100">
        <v>343</v>
      </c>
      <c r="G16" s="100">
        <v>387</v>
      </c>
      <c r="H16" s="100">
        <v>542</v>
      </c>
      <c r="I16" s="100">
        <v>575</v>
      </c>
      <c r="J16" s="61">
        <v>324</v>
      </c>
      <c r="K16" s="61">
        <v>295</v>
      </c>
      <c r="L16" s="62">
        <v>384</v>
      </c>
      <c r="M16" s="61">
        <v>340</v>
      </c>
      <c r="N16" s="100">
        <v>281</v>
      </c>
      <c r="O16" s="100">
        <v>324</v>
      </c>
      <c r="P16" s="100">
        <v>456</v>
      </c>
      <c r="Q16" s="100">
        <v>533</v>
      </c>
      <c r="R16" s="90"/>
      <c r="S16" s="90"/>
      <c r="T16" s="94"/>
      <c r="U16" s="90"/>
      <c r="V16" s="90"/>
      <c r="W16" s="90"/>
      <c r="AB16" s="76">
        <v>800</v>
      </c>
      <c r="AC16" s="77">
        <v>1296</v>
      </c>
      <c r="AD16" s="77"/>
      <c r="AF16" s="76">
        <v>800</v>
      </c>
      <c r="AG16" s="77">
        <v>940</v>
      </c>
      <c r="AH16" s="77"/>
    </row>
    <row r="17" spans="1:34" ht="21" customHeight="1">
      <c r="A17" s="2">
        <v>240</v>
      </c>
      <c r="B17" s="61">
        <v>424</v>
      </c>
      <c r="C17" s="61">
        <v>386</v>
      </c>
      <c r="D17" s="61">
        <v>528</v>
      </c>
      <c r="E17" s="61">
        <v>459</v>
      </c>
      <c r="F17" s="100">
        <v>395</v>
      </c>
      <c r="G17" s="100">
        <v>448</v>
      </c>
      <c r="H17" s="100">
        <v>641</v>
      </c>
      <c r="I17" s="100">
        <v>679</v>
      </c>
      <c r="J17" s="61">
        <v>380</v>
      </c>
      <c r="K17" s="61">
        <v>346</v>
      </c>
      <c r="L17" s="62">
        <v>450</v>
      </c>
      <c r="M17" s="61">
        <v>398</v>
      </c>
      <c r="N17" s="100">
        <v>324</v>
      </c>
      <c r="O17" s="100">
        <v>375</v>
      </c>
      <c r="P17" s="100">
        <v>538</v>
      </c>
      <c r="Q17" s="100">
        <v>634</v>
      </c>
      <c r="R17" s="90"/>
      <c r="S17" s="90"/>
      <c r="T17" s="94"/>
      <c r="U17" s="90"/>
      <c r="V17" s="90"/>
      <c r="W17" s="90"/>
      <c r="AB17" s="76">
        <v>1000</v>
      </c>
      <c r="AC17" s="77">
        <v>1485</v>
      </c>
      <c r="AD17" s="77"/>
      <c r="AF17" s="76">
        <v>1000</v>
      </c>
      <c r="AG17" s="77">
        <v>1050</v>
      </c>
      <c r="AH17" s="77"/>
    </row>
    <row r="18" spans="1:34" ht="21" customHeight="1">
      <c r="A18" s="2">
        <v>300</v>
      </c>
      <c r="B18" s="61">
        <v>486</v>
      </c>
      <c r="C18" s="61">
        <v>442</v>
      </c>
      <c r="D18" s="61">
        <v>603</v>
      </c>
      <c r="E18" s="61">
        <v>532</v>
      </c>
      <c r="F18" s="100">
        <v>446</v>
      </c>
      <c r="G18" s="100">
        <v>502</v>
      </c>
      <c r="H18" s="100">
        <v>741</v>
      </c>
      <c r="I18" s="100">
        <v>783</v>
      </c>
      <c r="J18" s="61">
        <v>435</v>
      </c>
      <c r="K18" s="61">
        <v>396</v>
      </c>
      <c r="L18" s="62">
        <v>514</v>
      </c>
      <c r="M18" s="61">
        <v>455</v>
      </c>
      <c r="N18" s="100">
        <v>365</v>
      </c>
      <c r="O18" s="100">
        <v>419</v>
      </c>
      <c r="P18" s="100">
        <v>621</v>
      </c>
      <c r="Q18" s="100">
        <v>736</v>
      </c>
      <c r="R18" s="90"/>
      <c r="S18" s="90"/>
      <c r="T18" s="94"/>
      <c r="U18" s="90"/>
      <c r="V18" s="90"/>
      <c r="W18" s="90"/>
    </row>
    <row r="19" spans="1:34" ht="21" customHeight="1">
      <c r="A19" s="2">
        <v>400</v>
      </c>
      <c r="B19" s="61"/>
      <c r="C19" s="61"/>
      <c r="D19" s="61"/>
      <c r="E19" s="61"/>
      <c r="F19" s="61"/>
      <c r="G19" s="61"/>
      <c r="H19" s="61"/>
      <c r="I19" s="61">
        <v>940</v>
      </c>
      <c r="J19" s="61"/>
      <c r="K19" s="61"/>
      <c r="L19" s="61"/>
      <c r="M19" s="61"/>
      <c r="N19" s="61"/>
      <c r="O19" s="61"/>
      <c r="P19" s="61"/>
      <c r="Q19" s="61">
        <v>868</v>
      </c>
      <c r="R19" s="91"/>
      <c r="S19" s="91"/>
      <c r="T19" s="95"/>
      <c r="U19" s="91"/>
      <c r="V19" s="91"/>
      <c r="W19" s="91"/>
    </row>
    <row r="20" spans="1:34" ht="21" customHeight="1">
      <c r="A20" s="2">
        <v>500</v>
      </c>
      <c r="B20" s="61"/>
      <c r="C20" s="61"/>
      <c r="D20" s="61"/>
      <c r="E20" s="61"/>
      <c r="F20" s="61"/>
      <c r="G20" s="61"/>
      <c r="H20" s="61"/>
      <c r="I20" s="61">
        <v>1083</v>
      </c>
      <c r="J20" s="61"/>
      <c r="K20" s="61"/>
      <c r="L20" s="61"/>
      <c r="M20" s="61"/>
      <c r="N20" s="61"/>
      <c r="O20" s="61"/>
      <c r="P20" s="61"/>
      <c r="Q20" s="61">
        <v>998</v>
      </c>
      <c r="R20" s="91"/>
      <c r="S20" s="91"/>
      <c r="T20" s="95"/>
      <c r="U20" s="91"/>
      <c r="V20" s="91"/>
      <c r="W20" s="91"/>
    </row>
    <row r="21" spans="1:34" ht="21" customHeight="1">
      <c r="A21" s="2">
        <v>630</v>
      </c>
      <c r="B21" s="61"/>
      <c r="C21" s="61"/>
      <c r="D21" s="61"/>
      <c r="E21" s="61"/>
      <c r="F21" s="61"/>
      <c r="G21" s="61"/>
      <c r="H21" s="61"/>
      <c r="I21" s="61">
        <v>1254</v>
      </c>
      <c r="J21" s="61"/>
      <c r="K21" s="61"/>
      <c r="L21" s="61"/>
      <c r="M21" s="61"/>
      <c r="N21" s="61"/>
      <c r="O21" s="61"/>
      <c r="P21" s="61"/>
      <c r="Q21" s="61">
        <v>1151</v>
      </c>
      <c r="R21" s="91"/>
      <c r="S21" s="91"/>
      <c r="T21" s="95"/>
      <c r="U21" s="91"/>
      <c r="V21" s="91"/>
      <c r="W21" s="91"/>
    </row>
    <row r="22" spans="1:34" ht="21" customHeight="1">
      <c r="A22" s="68"/>
    </row>
    <row r="27" spans="1:34" ht="21" customHeight="1">
      <c r="C27" s="49"/>
      <c r="D27" s="49"/>
      <c r="E27" s="49"/>
      <c r="F27" s="49"/>
      <c r="G27" s="49"/>
      <c r="H27" s="49"/>
      <c r="J27" s="49"/>
      <c r="K27" s="49"/>
      <c r="L27" s="49"/>
      <c r="M27" s="49"/>
    </row>
    <row r="53" spans="3:23" ht="21" customHeight="1"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96"/>
      <c r="U53" s="49"/>
      <c r="V53" s="49"/>
      <c r="W53" s="49"/>
    </row>
    <row r="78" spans="3:23" ht="21" customHeight="1"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96"/>
      <c r="U78" s="49"/>
      <c r="V78" s="49"/>
      <c r="W78" s="49"/>
    </row>
    <row r="110" spans="20:20" s="15" customFormat="1" ht="21" customHeight="1">
      <c r="T110" s="97"/>
    </row>
    <row r="111" spans="20:20" s="60" customFormat="1" ht="21" customHeight="1">
      <c r="T111" s="98"/>
    </row>
    <row r="112" spans="20:20" s="60" customFormat="1" ht="21" customHeight="1">
      <c r="T112" s="98"/>
    </row>
    <row r="113" spans="20:20" s="60" customFormat="1" ht="21" customHeight="1">
      <c r="T113" s="98"/>
    </row>
    <row r="114" spans="20:20" s="60" customFormat="1" ht="21" customHeight="1">
      <c r="T114" s="98"/>
    </row>
    <row r="115" spans="20:20" s="60" customFormat="1" ht="21" customHeight="1">
      <c r="T115" s="98"/>
    </row>
    <row r="116" spans="20:20" s="60" customFormat="1" ht="21" customHeight="1">
      <c r="T116" s="98"/>
    </row>
    <row r="117" spans="20:20" s="60" customFormat="1" ht="21" customHeight="1">
      <c r="T117" s="98"/>
    </row>
    <row r="118" spans="20:20" s="60" customFormat="1" ht="21" customHeight="1">
      <c r="T118" s="98"/>
    </row>
    <row r="119" spans="20:20" s="60" customFormat="1" ht="21" customHeight="1">
      <c r="T119" s="98"/>
    </row>
    <row r="120" spans="20:20" s="60" customFormat="1" ht="21" customHeight="1">
      <c r="T120" s="98"/>
    </row>
    <row r="121" spans="20:20" s="60" customFormat="1" ht="21" customHeight="1">
      <c r="T121" s="98"/>
    </row>
    <row r="122" spans="20:20" s="60" customFormat="1" ht="21" customHeight="1">
      <c r="T122" s="98"/>
    </row>
    <row r="123" spans="20:20" s="60" customFormat="1" ht="21" customHeight="1">
      <c r="T123" s="98"/>
    </row>
    <row r="124" spans="20:20" s="60" customFormat="1" ht="21" customHeight="1">
      <c r="T124" s="98"/>
    </row>
    <row r="125" spans="20:20" s="60" customFormat="1" ht="21" customHeight="1">
      <c r="T125" s="98"/>
    </row>
    <row r="126" spans="20:20" s="60" customFormat="1" ht="21" customHeight="1">
      <c r="T126" s="98"/>
    </row>
    <row r="127" spans="20:20" s="60" customFormat="1" ht="21" customHeight="1">
      <c r="T127" s="98"/>
    </row>
    <row r="128" spans="20:20" s="60" customFormat="1" ht="21" customHeight="1">
      <c r="T128" s="98"/>
    </row>
    <row r="129" spans="20:20" s="60" customFormat="1" ht="21" customHeight="1">
      <c r="T129" s="98"/>
    </row>
    <row r="130" spans="20:20" s="60" customFormat="1" ht="21" customHeight="1">
      <c r="T130" s="98"/>
    </row>
    <row r="131" spans="20:20" s="60" customFormat="1" ht="21" customHeight="1">
      <c r="T131" s="98"/>
    </row>
    <row r="281" spans="1:2" ht="21" customHeight="1">
      <c r="A281" s="2"/>
      <c r="B281" s="7"/>
    </row>
    <row r="376" spans="1:1" ht="21" customHeight="1">
      <c r="A376" s="5"/>
    </row>
  </sheetData>
  <phoneticPr fontId="4" type="noConversion"/>
  <pageMargins left="0.75" right="0.55000000000000004" top="0.79" bottom="0.79" header="0.51" footer="0.51"/>
  <pageSetup paperSize="9"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CB26-D6AC-4188-8105-3C3B4522385C}">
  <sheetPr>
    <tabColor rgb="FF7030A0"/>
  </sheetPr>
  <dimension ref="A1:I49"/>
  <sheetViews>
    <sheetView tabSelected="1" workbookViewId="0">
      <selection activeCell="C44" sqref="C44"/>
    </sheetView>
  </sheetViews>
  <sheetFormatPr defaultRowHeight="12"/>
  <cols>
    <col min="1" max="1" width="9.5" style="66" customWidth="1"/>
    <col min="2" max="2" width="12" style="66" customWidth="1"/>
    <col min="3" max="4" width="10.875" style="67" customWidth="1"/>
    <col min="5" max="5" width="15.125" style="67" bestFit="1" customWidth="1"/>
    <col min="6" max="6" width="9" style="67"/>
    <col min="7" max="7" width="4.125" style="67" customWidth="1"/>
    <col min="8" max="8" width="11.625" style="67" customWidth="1"/>
    <col min="9" max="9" width="12.75" style="67" customWidth="1"/>
    <col min="10" max="16384" width="9" style="67"/>
  </cols>
  <sheetData>
    <row r="1" spans="1:9">
      <c r="A1" s="80" t="s">
        <v>74</v>
      </c>
      <c r="B1" s="62" t="s">
        <v>70</v>
      </c>
      <c r="C1" s="62" t="s">
        <v>71</v>
      </c>
      <c r="D1" s="62" t="s">
        <v>72</v>
      </c>
      <c r="E1" s="62" t="s">
        <v>73</v>
      </c>
      <c r="G1" s="102" t="s">
        <v>496</v>
      </c>
      <c r="H1" s="103">
        <v>46190</v>
      </c>
      <c r="I1" s="102" t="s">
        <v>497</v>
      </c>
    </row>
    <row r="2" spans="1:9">
      <c r="A2" s="80" t="s">
        <v>493</v>
      </c>
      <c r="B2" s="62">
        <v>1.5</v>
      </c>
      <c r="C2" s="79">
        <v>15.43</v>
      </c>
      <c r="D2" s="79">
        <v>0.1222</v>
      </c>
      <c r="E2" s="79">
        <f t="shared" ref="E2:E49" si="0">C2*0.9+D2*(SQRT(1-(0.9*0.9)))</f>
        <v>13.940265745090068</v>
      </c>
    </row>
    <row r="3" spans="1:9">
      <c r="A3" s="80" t="s">
        <v>493</v>
      </c>
      <c r="B3" s="62">
        <v>2.5</v>
      </c>
      <c r="C3" s="79">
        <v>9.4499999999999993</v>
      </c>
      <c r="D3" s="79">
        <v>0.114</v>
      </c>
      <c r="E3" s="79">
        <f t="shared" si="0"/>
        <v>8.5546914479563618</v>
      </c>
    </row>
    <row r="4" spans="1:9">
      <c r="A4" s="80" t="s">
        <v>493</v>
      </c>
      <c r="B4" s="62">
        <v>4</v>
      </c>
      <c r="C4" s="79">
        <v>5.88</v>
      </c>
      <c r="D4" s="79">
        <v>0.1067</v>
      </c>
      <c r="E4" s="79">
        <f t="shared" si="0"/>
        <v>5.3385094517275791</v>
      </c>
    </row>
    <row r="5" spans="1:9">
      <c r="A5" s="80" t="s">
        <v>493</v>
      </c>
      <c r="B5" s="62">
        <v>6</v>
      </c>
      <c r="C5" s="79">
        <v>3.93</v>
      </c>
      <c r="D5" s="79">
        <v>0.1014</v>
      </c>
      <c r="E5" s="79">
        <f t="shared" si="0"/>
        <v>3.5811992352875026</v>
      </c>
    </row>
    <row r="6" spans="1:9">
      <c r="A6" s="80" t="s">
        <v>493</v>
      </c>
      <c r="B6" s="62">
        <v>10</v>
      </c>
      <c r="C6" s="79">
        <v>2.33</v>
      </c>
      <c r="D6" s="79">
        <v>9.5399999999999999E-2</v>
      </c>
      <c r="E6" s="79">
        <f t="shared" si="0"/>
        <v>2.1385838959213781</v>
      </c>
    </row>
    <row r="7" spans="1:9">
      <c r="A7" s="80" t="s">
        <v>493</v>
      </c>
      <c r="B7" s="62">
        <v>16</v>
      </c>
      <c r="C7" s="79">
        <v>1.466</v>
      </c>
      <c r="D7" s="79">
        <v>9.2499999999999999E-2</v>
      </c>
      <c r="E7" s="79">
        <f t="shared" si="0"/>
        <v>1.3597198152277512</v>
      </c>
    </row>
    <row r="8" spans="1:9">
      <c r="A8" s="80" t="s">
        <v>493</v>
      </c>
      <c r="B8" s="62">
        <v>25</v>
      </c>
      <c r="C8" s="78">
        <v>0.92700000000000005</v>
      </c>
      <c r="D8" s="78">
        <v>9.2899999999999996E-2</v>
      </c>
      <c r="E8" s="79">
        <f t="shared" si="0"/>
        <v>0.87479417118549285</v>
      </c>
    </row>
    <row r="9" spans="1:9">
      <c r="A9" s="80" t="s">
        <v>493</v>
      </c>
      <c r="B9" s="62">
        <v>35</v>
      </c>
      <c r="C9" s="78">
        <v>0.66800000000000004</v>
      </c>
      <c r="D9" s="78">
        <v>9.01E-2</v>
      </c>
      <c r="E9" s="79">
        <f t="shared" si="0"/>
        <v>0.64047367948130152</v>
      </c>
    </row>
    <row r="10" spans="1:9">
      <c r="A10" s="80" t="s">
        <v>493</v>
      </c>
      <c r="B10" s="62">
        <v>50</v>
      </c>
      <c r="C10" s="78">
        <v>0.49299999999999999</v>
      </c>
      <c r="D10" s="78">
        <v>0.115</v>
      </c>
      <c r="E10" s="79">
        <f t="shared" si="0"/>
        <v>0.49382733785071775</v>
      </c>
    </row>
    <row r="11" spans="1:9">
      <c r="A11" s="80" t="s">
        <v>493</v>
      </c>
      <c r="B11" s="62">
        <v>70</v>
      </c>
      <c r="C11" s="78">
        <v>0.34200000000000003</v>
      </c>
      <c r="D11" s="78">
        <v>0.1081</v>
      </c>
      <c r="E11" s="79">
        <f t="shared" si="0"/>
        <v>0.35491969757967468</v>
      </c>
    </row>
    <row r="12" spans="1:9">
      <c r="A12" s="80" t="s">
        <v>493</v>
      </c>
      <c r="B12" s="62">
        <v>95</v>
      </c>
      <c r="C12" s="78">
        <v>0.247</v>
      </c>
      <c r="D12" s="78">
        <v>0.1076</v>
      </c>
      <c r="E12" s="79">
        <f t="shared" si="0"/>
        <v>0.26920175263249763</v>
      </c>
    </row>
    <row r="13" spans="1:9">
      <c r="A13" s="80" t="s">
        <v>493</v>
      </c>
      <c r="B13" s="62">
        <v>120</v>
      </c>
      <c r="C13" s="78">
        <v>0.19600000000000001</v>
      </c>
      <c r="D13" s="78">
        <v>0.1042</v>
      </c>
      <c r="E13" s="79">
        <f t="shared" si="0"/>
        <v>0.22181972699169381</v>
      </c>
    </row>
    <row r="14" spans="1:9">
      <c r="A14" s="80" t="s">
        <v>493</v>
      </c>
      <c r="B14" s="62">
        <v>150</v>
      </c>
      <c r="C14" s="78">
        <v>0.16</v>
      </c>
      <c r="D14" s="78">
        <v>0.1031</v>
      </c>
      <c r="E14" s="79">
        <f t="shared" si="0"/>
        <v>0.18894024810790436</v>
      </c>
    </row>
    <row r="15" spans="1:9">
      <c r="A15" s="80" t="s">
        <v>493</v>
      </c>
      <c r="B15" s="62">
        <v>185</v>
      </c>
      <c r="C15" s="78">
        <v>0.12839999999999999</v>
      </c>
      <c r="D15" s="78">
        <v>0.1022</v>
      </c>
      <c r="E15" s="79">
        <f t="shared" si="0"/>
        <v>0.16010794720298566</v>
      </c>
    </row>
    <row r="16" spans="1:9">
      <c r="A16" s="80" t="s">
        <v>493</v>
      </c>
      <c r="B16" s="62">
        <v>240</v>
      </c>
      <c r="C16" s="78">
        <v>9.8900000000000002E-2</v>
      </c>
      <c r="D16" s="78">
        <v>0.1004</v>
      </c>
      <c r="E16" s="79">
        <f t="shared" si="0"/>
        <v>0.13277334539314836</v>
      </c>
    </row>
    <row r="17" spans="1:5">
      <c r="A17" s="80" t="s">
        <v>493</v>
      </c>
      <c r="B17" s="62">
        <v>300</v>
      </c>
      <c r="C17" s="78">
        <v>0.08</v>
      </c>
      <c r="D17" s="78">
        <v>9.98E-2</v>
      </c>
      <c r="E17" s="79">
        <f t="shared" si="0"/>
        <v>0.11550181145653593</v>
      </c>
    </row>
    <row r="18" spans="1:5">
      <c r="A18" s="80" t="s">
        <v>494</v>
      </c>
      <c r="B18" s="62">
        <v>1.5</v>
      </c>
      <c r="C18" s="79">
        <v>15.43</v>
      </c>
      <c r="D18" s="79">
        <v>0.1222</v>
      </c>
      <c r="E18" s="79">
        <f t="shared" si="0"/>
        <v>13.940265745090068</v>
      </c>
    </row>
    <row r="19" spans="1:5">
      <c r="A19" s="80" t="s">
        <v>494</v>
      </c>
      <c r="B19" s="62">
        <v>2.5</v>
      </c>
      <c r="C19" s="79">
        <v>9.4499999999999993</v>
      </c>
      <c r="D19" s="79">
        <v>0.114</v>
      </c>
      <c r="E19" s="79">
        <f t="shared" si="0"/>
        <v>8.5546914479563618</v>
      </c>
    </row>
    <row r="20" spans="1:5">
      <c r="A20" s="80" t="s">
        <v>494</v>
      </c>
      <c r="B20" s="62">
        <v>4</v>
      </c>
      <c r="C20" s="79">
        <v>5.88</v>
      </c>
      <c r="D20" s="79">
        <v>0.1067</v>
      </c>
      <c r="E20" s="79">
        <f t="shared" si="0"/>
        <v>5.3385094517275791</v>
      </c>
    </row>
    <row r="21" spans="1:5">
      <c r="A21" s="80" t="s">
        <v>494</v>
      </c>
      <c r="B21" s="62">
        <v>6</v>
      </c>
      <c r="C21" s="79">
        <v>3.93</v>
      </c>
      <c r="D21" s="79">
        <v>0.1014</v>
      </c>
      <c r="E21" s="79">
        <f t="shared" si="0"/>
        <v>3.5811992352875026</v>
      </c>
    </row>
    <row r="22" spans="1:5">
      <c r="A22" s="80" t="s">
        <v>494</v>
      </c>
      <c r="B22" s="62">
        <v>10</v>
      </c>
      <c r="C22" s="79">
        <v>2.33</v>
      </c>
      <c r="D22" s="79">
        <v>9.5399999999999999E-2</v>
      </c>
      <c r="E22" s="79">
        <f t="shared" si="0"/>
        <v>2.1385838959213781</v>
      </c>
    </row>
    <row r="23" spans="1:5">
      <c r="A23" s="80" t="s">
        <v>494</v>
      </c>
      <c r="B23" s="62">
        <v>16</v>
      </c>
      <c r="C23" s="79">
        <v>1.4670000000000001</v>
      </c>
      <c r="D23" s="79">
        <v>9.2499999999999999E-2</v>
      </c>
      <c r="E23" s="79">
        <f t="shared" si="0"/>
        <v>1.3606198152277513</v>
      </c>
    </row>
    <row r="24" spans="1:5">
      <c r="A24" s="80" t="s">
        <v>494</v>
      </c>
      <c r="B24" s="62">
        <v>25</v>
      </c>
      <c r="C24" s="78">
        <v>0.92700000000000005</v>
      </c>
      <c r="D24" s="78">
        <v>9.2899999999999996E-2</v>
      </c>
      <c r="E24" s="79">
        <f t="shared" si="0"/>
        <v>0.87479417118549285</v>
      </c>
    </row>
    <row r="25" spans="1:5">
      <c r="A25" s="80" t="s">
        <v>494</v>
      </c>
      <c r="B25" s="62">
        <v>35</v>
      </c>
      <c r="C25" s="78">
        <v>0.66900000000000004</v>
      </c>
      <c r="D25" s="78">
        <v>9.01E-2</v>
      </c>
      <c r="E25" s="79">
        <f t="shared" si="0"/>
        <v>0.64137367948130153</v>
      </c>
    </row>
    <row r="26" spans="1:5">
      <c r="A26" s="80" t="s">
        <v>494</v>
      </c>
      <c r="B26" s="62">
        <v>50</v>
      </c>
      <c r="C26" s="78">
        <v>0.49399999999999999</v>
      </c>
      <c r="D26" s="78">
        <v>8.9200000000000002E-2</v>
      </c>
      <c r="E26" s="79">
        <f t="shared" si="0"/>
        <v>0.48348137857638279</v>
      </c>
    </row>
    <row r="27" spans="1:5">
      <c r="A27" s="80" t="s">
        <v>494</v>
      </c>
      <c r="B27" s="62">
        <v>70</v>
      </c>
      <c r="C27" s="78">
        <v>0.34300000000000003</v>
      </c>
      <c r="D27" s="78">
        <v>8.7800000000000003E-2</v>
      </c>
      <c r="E27" s="79">
        <f t="shared" si="0"/>
        <v>0.34697113272428715</v>
      </c>
    </row>
    <row r="28" spans="1:5">
      <c r="A28" s="80" t="s">
        <v>494</v>
      </c>
      <c r="B28" s="62">
        <v>95</v>
      </c>
      <c r="C28" s="78">
        <v>0.248</v>
      </c>
      <c r="D28" s="78">
        <v>8.5599999999999996E-2</v>
      </c>
      <c r="E28" s="79">
        <f t="shared" si="0"/>
        <v>0.26051217495670814</v>
      </c>
    </row>
    <row r="29" spans="1:5">
      <c r="A29" s="80" t="s">
        <v>494</v>
      </c>
      <c r="B29" s="62">
        <v>120</v>
      </c>
      <c r="C29" s="78">
        <v>0.19700000000000001</v>
      </c>
      <c r="D29" s="78">
        <v>8.5199999999999998E-2</v>
      </c>
      <c r="E29" s="79">
        <f t="shared" si="0"/>
        <v>0.21443781899896655</v>
      </c>
    </row>
    <row r="30" spans="1:5">
      <c r="A30" s="80" t="s">
        <v>494</v>
      </c>
      <c r="B30" s="62">
        <v>150</v>
      </c>
      <c r="C30" s="78">
        <v>0.16</v>
      </c>
      <c r="D30" s="78">
        <v>8.5699999999999998E-2</v>
      </c>
      <c r="E30" s="79">
        <f t="shared" si="0"/>
        <v>0.18135576394614358</v>
      </c>
    </row>
    <row r="31" spans="1:5">
      <c r="A31" s="80" t="s">
        <v>494</v>
      </c>
      <c r="B31" s="62">
        <v>185</v>
      </c>
      <c r="C31" s="78">
        <v>0.12909999999999999</v>
      </c>
      <c r="D31" s="78">
        <v>8.6199999999999999E-2</v>
      </c>
      <c r="E31" s="79">
        <f t="shared" si="0"/>
        <v>0.15376370889332058</v>
      </c>
    </row>
    <row r="32" spans="1:5">
      <c r="A32" s="80" t="s">
        <v>494</v>
      </c>
      <c r="B32" s="62">
        <v>240</v>
      </c>
      <c r="C32" s="78">
        <v>9.98E-2</v>
      </c>
      <c r="D32" s="78">
        <v>8.5099999999999995E-2</v>
      </c>
      <c r="E32" s="79">
        <f t="shared" si="0"/>
        <v>0.12691423000953111</v>
      </c>
    </row>
    <row r="33" spans="1:5">
      <c r="A33" s="80" t="s">
        <v>494</v>
      </c>
      <c r="B33" s="62">
        <v>300</v>
      </c>
      <c r="C33" s="78">
        <v>8.1299999999999997E-2</v>
      </c>
      <c r="D33" s="78">
        <v>8.4400000000000003E-2</v>
      </c>
      <c r="E33" s="79">
        <f t="shared" si="0"/>
        <v>0.10995910708348328</v>
      </c>
    </row>
    <row r="34" spans="1:5">
      <c r="A34" s="80" t="s">
        <v>495</v>
      </c>
      <c r="B34" s="62">
        <v>1.5</v>
      </c>
      <c r="C34" s="79">
        <v>15.43</v>
      </c>
      <c r="D34" s="79">
        <v>0.1222</v>
      </c>
      <c r="E34" s="79">
        <f t="shared" si="0"/>
        <v>13.940265745090068</v>
      </c>
    </row>
    <row r="35" spans="1:5">
      <c r="A35" s="80" t="s">
        <v>495</v>
      </c>
      <c r="B35" s="62">
        <v>2.5</v>
      </c>
      <c r="C35" s="79">
        <v>9.4499999999999993</v>
      </c>
      <c r="D35" s="79">
        <v>0.114</v>
      </c>
      <c r="E35" s="79">
        <f t="shared" si="0"/>
        <v>8.5546914479563618</v>
      </c>
    </row>
    <row r="36" spans="1:5">
      <c r="A36" s="80" t="s">
        <v>495</v>
      </c>
      <c r="B36" s="62">
        <v>4</v>
      </c>
      <c r="C36" s="79">
        <v>5.88</v>
      </c>
      <c r="D36" s="79">
        <v>0.1067</v>
      </c>
      <c r="E36" s="79">
        <f t="shared" si="0"/>
        <v>5.3385094517275791</v>
      </c>
    </row>
    <row r="37" spans="1:5">
      <c r="A37" s="80" t="s">
        <v>495</v>
      </c>
      <c r="B37" s="62">
        <v>6</v>
      </c>
      <c r="C37" s="79">
        <v>3.93</v>
      </c>
      <c r="D37" s="79">
        <v>0.1014</v>
      </c>
      <c r="E37" s="79">
        <f t="shared" si="0"/>
        <v>3.5811992352875026</v>
      </c>
    </row>
    <row r="38" spans="1:5">
      <c r="A38" s="80" t="s">
        <v>495</v>
      </c>
      <c r="B38" s="62">
        <v>10</v>
      </c>
      <c r="C38" s="79">
        <v>2.33</v>
      </c>
      <c r="D38" s="79">
        <v>9.5399999999999999E-2</v>
      </c>
      <c r="E38" s="79">
        <f t="shared" si="0"/>
        <v>2.1385838959213781</v>
      </c>
    </row>
    <row r="39" spans="1:5">
      <c r="A39" s="80" t="s">
        <v>495</v>
      </c>
      <c r="B39" s="62">
        <v>16</v>
      </c>
      <c r="C39" s="79">
        <v>1.4670000000000001</v>
      </c>
      <c r="D39" s="79">
        <v>9.2499999999999999E-2</v>
      </c>
      <c r="E39" s="79">
        <f t="shared" si="0"/>
        <v>1.3606198152277513</v>
      </c>
    </row>
    <row r="40" spans="1:5">
      <c r="A40" s="80" t="s">
        <v>495</v>
      </c>
      <c r="B40" s="62">
        <v>25</v>
      </c>
      <c r="C40" s="78">
        <v>0.92700000000000005</v>
      </c>
      <c r="D40" s="78">
        <v>9.2899999999999996E-2</v>
      </c>
      <c r="E40" s="79">
        <f t="shared" si="0"/>
        <v>0.87479417118549285</v>
      </c>
    </row>
    <row r="41" spans="1:5">
      <c r="A41" s="80" t="s">
        <v>495</v>
      </c>
      <c r="B41" s="62">
        <v>35</v>
      </c>
      <c r="C41" s="78">
        <v>0.66900000000000004</v>
      </c>
      <c r="D41" s="78">
        <v>9.01E-2</v>
      </c>
      <c r="E41" s="79">
        <f t="shared" si="0"/>
        <v>0.64137367948130153</v>
      </c>
    </row>
    <row r="42" spans="1:5">
      <c r="A42" s="80" t="s">
        <v>495</v>
      </c>
      <c r="B42" s="62">
        <v>50</v>
      </c>
      <c r="C42" s="78">
        <v>0.49399999999999999</v>
      </c>
      <c r="D42" s="78">
        <v>8.9200000000000002E-2</v>
      </c>
      <c r="E42" s="79">
        <f t="shared" si="0"/>
        <v>0.48348137857638279</v>
      </c>
    </row>
    <row r="43" spans="1:5">
      <c r="A43" s="80" t="s">
        <v>495</v>
      </c>
      <c r="B43" s="62">
        <v>70</v>
      </c>
      <c r="C43" s="78">
        <v>0.34300000000000003</v>
      </c>
      <c r="D43" s="78">
        <v>8.7800000000000003E-2</v>
      </c>
      <c r="E43" s="79">
        <f t="shared" si="0"/>
        <v>0.34697113272428715</v>
      </c>
    </row>
    <row r="44" spans="1:5">
      <c r="A44" s="80" t="s">
        <v>495</v>
      </c>
      <c r="B44" s="62">
        <v>95</v>
      </c>
      <c r="C44" s="78">
        <v>0.248</v>
      </c>
      <c r="D44" s="78">
        <v>8.5599999999999996E-2</v>
      </c>
      <c r="E44" s="79">
        <f t="shared" si="0"/>
        <v>0.26051217495670814</v>
      </c>
    </row>
    <row r="45" spans="1:5">
      <c r="A45" s="80" t="s">
        <v>495</v>
      </c>
      <c r="B45" s="62">
        <v>120</v>
      </c>
      <c r="C45" s="78">
        <v>0.19800000000000001</v>
      </c>
      <c r="D45" s="78">
        <v>8.5199999999999998E-2</v>
      </c>
      <c r="E45" s="79">
        <f t="shared" si="0"/>
        <v>0.21533781899896656</v>
      </c>
    </row>
    <row r="46" spans="1:5">
      <c r="A46" s="80" t="s">
        <v>495</v>
      </c>
      <c r="B46" s="62">
        <v>150</v>
      </c>
      <c r="C46" s="78">
        <v>0.161</v>
      </c>
      <c r="D46" s="78">
        <v>8.5699999999999998E-2</v>
      </c>
      <c r="E46" s="79">
        <f t="shared" si="0"/>
        <v>0.18225576394614357</v>
      </c>
    </row>
    <row r="47" spans="1:5">
      <c r="A47" s="80" t="s">
        <v>495</v>
      </c>
      <c r="B47" s="62">
        <v>185</v>
      </c>
      <c r="C47" s="78">
        <v>0.13009999999999999</v>
      </c>
      <c r="D47" s="78">
        <v>8.6199999999999999E-2</v>
      </c>
      <c r="E47" s="79">
        <f t="shared" si="0"/>
        <v>0.1546637088933206</v>
      </c>
    </row>
    <row r="48" spans="1:5">
      <c r="A48" s="80" t="s">
        <v>495</v>
      </c>
      <c r="B48" s="62">
        <v>240</v>
      </c>
      <c r="C48" s="78">
        <v>0.1011</v>
      </c>
      <c r="D48" s="78">
        <v>8.5099999999999995E-2</v>
      </c>
      <c r="E48" s="79">
        <f t="shared" si="0"/>
        <v>0.12808423000953112</v>
      </c>
    </row>
    <row r="49" spans="1:5">
      <c r="A49" s="80" t="s">
        <v>495</v>
      </c>
      <c r="B49" s="62">
        <v>300</v>
      </c>
      <c r="C49" s="78">
        <v>8.2699999999999996E-2</v>
      </c>
      <c r="D49" s="78">
        <v>8.4400000000000003E-2</v>
      </c>
      <c r="E49" s="79">
        <f t="shared" si="0"/>
        <v>0.11121910708348327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7EA6-58F4-4FDE-95F2-DFB83D2013C2}">
  <sheetPr>
    <tabColor rgb="FF7030A0"/>
  </sheetPr>
  <dimension ref="A2:G48"/>
  <sheetViews>
    <sheetView workbookViewId="0">
      <selection activeCell="K24" sqref="K24"/>
    </sheetView>
  </sheetViews>
  <sheetFormatPr defaultRowHeight="12"/>
  <cols>
    <col min="1" max="1" width="8.375" style="3" customWidth="1"/>
    <col min="2" max="2" width="6.25" style="4" customWidth="1"/>
    <col min="3" max="7" width="5.375" style="3" customWidth="1"/>
    <col min="8" max="16384" width="9" style="3"/>
  </cols>
  <sheetData>
    <row r="2" spans="1:7">
      <c r="A2" s="75" t="s">
        <v>86</v>
      </c>
      <c r="B2" s="75" t="s">
        <v>82</v>
      </c>
      <c r="C2" s="75">
        <v>4</v>
      </c>
      <c r="D2" s="75">
        <v>6</v>
      </c>
      <c r="E2" s="75">
        <v>10</v>
      </c>
      <c r="F2" s="75">
        <v>15</v>
      </c>
      <c r="G2" s="75">
        <v>20</v>
      </c>
    </row>
    <row r="3" spans="1:7">
      <c r="A3" s="74" t="s">
        <v>83</v>
      </c>
      <c r="B3" s="75">
        <v>20</v>
      </c>
      <c r="C3" s="74">
        <v>6.2</v>
      </c>
      <c r="D3" s="74">
        <v>5.0999999999999996</v>
      </c>
      <c r="E3" s="74">
        <v>4</v>
      </c>
      <c r="F3" s="74">
        <v>3.3</v>
      </c>
      <c r="G3" s="74">
        <v>2.8</v>
      </c>
    </row>
    <row r="4" spans="1:7">
      <c r="A4" s="74" t="s">
        <v>83</v>
      </c>
      <c r="B4" s="75">
        <v>30</v>
      </c>
      <c r="C4" s="74">
        <v>6.2</v>
      </c>
      <c r="D4" s="74">
        <v>5.0999999999999996</v>
      </c>
      <c r="E4" s="74">
        <v>4</v>
      </c>
      <c r="F4" s="74">
        <v>3.3</v>
      </c>
      <c r="G4" s="74">
        <v>2.8</v>
      </c>
    </row>
    <row r="5" spans="1:7">
      <c r="A5" s="74" t="s">
        <v>83</v>
      </c>
      <c r="B5" s="75">
        <v>40</v>
      </c>
      <c r="C5" s="74">
        <v>6.2</v>
      </c>
      <c r="D5" s="74">
        <v>5.0999999999999996</v>
      </c>
      <c r="E5" s="74">
        <v>4</v>
      </c>
      <c r="F5" s="74">
        <v>3.3</v>
      </c>
      <c r="G5" s="74">
        <v>2.8</v>
      </c>
    </row>
    <row r="6" spans="1:7">
      <c r="A6" s="74" t="s">
        <v>83</v>
      </c>
      <c r="B6" s="75">
        <v>50</v>
      </c>
      <c r="C6" s="74">
        <v>6.2</v>
      </c>
      <c r="D6" s="74">
        <v>5.0999999999999996</v>
      </c>
      <c r="E6" s="74">
        <v>4</v>
      </c>
      <c r="F6" s="74">
        <v>3.3</v>
      </c>
      <c r="G6" s="74">
        <v>2.8</v>
      </c>
    </row>
    <row r="7" spans="1:7">
      <c r="A7" s="74" t="s">
        <v>83</v>
      </c>
      <c r="B7" s="75">
        <v>60</v>
      </c>
      <c r="C7" s="74">
        <v>6.2</v>
      </c>
      <c r="D7" s="74">
        <v>5.0999999999999996</v>
      </c>
      <c r="E7" s="74">
        <v>4</v>
      </c>
      <c r="F7" s="74">
        <v>3.3</v>
      </c>
      <c r="G7" s="74">
        <v>2.8</v>
      </c>
    </row>
    <row r="8" spans="1:7">
      <c r="A8" s="74" t="s">
        <v>83</v>
      </c>
      <c r="B8" s="75">
        <v>75</v>
      </c>
      <c r="C8" s="74">
        <v>6.2</v>
      </c>
      <c r="D8" s="74">
        <v>5.0999999999999996</v>
      </c>
      <c r="E8" s="74">
        <v>4</v>
      </c>
      <c r="F8" s="74">
        <v>3.3</v>
      </c>
      <c r="G8" s="74">
        <v>2.8</v>
      </c>
    </row>
    <row r="9" spans="1:7">
      <c r="A9" s="74" t="s">
        <v>83</v>
      </c>
      <c r="B9" s="75">
        <v>100</v>
      </c>
      <c r="C9" s="74">
        <v>6.2</v>
      </c>
      <c r="D9" s="74">
        <v>5.0999999999999996</v>
      </c>
      <c r="E9" s="74">
        <v>4</v>
      </c>
      <c r="F9" s="74">
        <v>3.3</v>
      </c>
      <c r="G9" s="74">
        <v>2.8</v>
      </c>
    </row>
    <row r="10" spans="1:7">
      <c r="A10" s="74" t="s">
        <v>83</v>
      </c>
      <c r="B10" s="75">
        <v>125</v>
      </c>
      <c r="C10" s="74">
        <v>6.2</v>
      </c>
      <c r="D10" s="74">
        <v>5.0999999999999996</v>
      </c>
      <c r="E10" s="74">
        <v>4</v>
      </c>
      <c r="F10" s="74">
        <v>3.3</v>
      </c>
      <c r="G10" s="74">
        <v>2.8</v>
      </c>
    </row>
    <row r="11" spans="1:7">
      <c r="A11" s="74" t="s">
        <v>83</v>
      </c>
      <c r="B11" s="75">
        <v>150</v>
      </c>
      <c r="C11" s="74">
        <v>7.5</v>
      </c>
      <c r="D11" s="74">
        <v>6.2</v>
      </c>
      <c r="E11" s="74">
        <v>4.8</v>
      </c>
      <c r="F11" s="74">
        <v>4</v>
      </c>
      <c r="G11" s="74">
        <v>3.6</v>
      </c>
    </row>
    <row r="12" spans="1:7">
      <c r="A12" s="74" t="s">
        <v>83</v>
      </c>
      <c r="B12" s="75">
        <v>175</v>
      </c>
      <c r="C12" s="74">
        <v>7.5</v>
      </c>
      <c r="D12" s="74">
        <v>6.2</v>
      </c>
      <c r="E12" s="74">
        <v>4.8</v>
      </c>
      <c r="F12" s="74">
        <v>4</v>
      </c>
      <c r="G12" s="74">
        <v>3.6</v>
      </c>
    </row>
    <row r="13" spans="1:7">
      <c r="A13" s="74" t="s">
        <v>83</v>
      </c>
      <c r="B13" s="75">
        <v>200</v>
      </c>
      <c r="C13" s="74">
        <v>7.5</v>
      </c>
      <c r="D13" s="74">
        <v>6.2</v>
      </c>
      <c r="E13" s="74">
        <v>4.8</v>
      </c>
      <c r="F13" s="74">
        <v>4</v>
      </c>
      <c r="G13" s="74">
        <v>3.6</v>
      </c>
    </row>
    <row r="14" spans="1:7">
      <c r="A14" s="74" t="s">
        <v>83</v>
      </c>
      <c r="B14" s="75">
        <v>225</v>
      </c>
      <c r="C14" s="74">
        <v>7.5</v>
      </c>
      <c r="D14" s="74">
        <v>6.2</v>
      </c>
      <c r="E14" s="74">
        <v>4.8</v>
      </c>
      <c r="F14" s="74">
        <v>4</v>
      </c>
      <c r="G14" s="74">
        <v>3.6</v>
      </c>
    </row>
    <row r="15" spans="1:7">
      <c r="A15" s="74" t="s">
        <v>83</v>
      </c>
      <c r="B15" s="75">
        <v>250</v>
      </c>
      <c r="C15" s="74">
        <v>7.5</v>
      </c>
      <c r="D15" s="74">
        <v>6.2</v>
      </c>
      <c r="E15" s="74">
        <v>4.8</v>
      </c>
      <c r="F15" s="74">
        <v>4</v>
      </c>
      <c r="G15" s="74">
        <v>3.6</v>
      </c>
    </row>
    <row r="16" spans="1:7">
      <c r="A16" s="74" t="s">
        <v>83</v>
      </c>
      <c r="B16" s="75">
        <v>300</v>
      </c>
      <c r="C16" s="74">
        <v>7.3</v>
      </c>
      <c r="D16" s="74">
        <v>6.8</v>
      </c>
      <c r="E16" s="74">
        <v>5.4</v>
      </c>
      <c r="F16" s="74">
        <v>4.5999999999999996</v>
      </c>
      <c r="G16" s="74">
        <v>4</v>
      </c>
    </row>
    <row r="17" spans="1:7">
      <c r="A17" s="74" t="s">
        <v>83</v>
      </c>
      <c r="B17" s="75">
        <v>350</v>
      </c>
      <c r="C17" s="74">
        <v>7.3</v>
      </c>
      <c r="D17" s="74">
        <v>6.8</v>
      </c>
      <c r="E17" s="74">
        <v>5.4</v>
      </c>
      <c r="F17" s="74">
        <v>4.5999999999999996</v>
      </c>
      <c r="G17" s="74">
        <v>4</v>
      </c>
    </row>
    <row r="18" spans="1:7">
      <c r="A18" s="74" t="s">
        <v>83</v>
      </c>
      <c r="B18" s="75">
        <v>400</v>
      </c>
      <c r="C18" s="74">
        <v>7.3</v>
      </c>
      <c r="D18" s="74">
        <v>6.8</v>
      </c>
      <c r="E18" s="74">
        <v>5.4</v>
      </c>
      <c r="F18" s="74">
        <v>4.5999999999999996</v>
      </c>
      <c r="G18" s="74">
        <v>4</v>
      </c>
    </row>
    <row r="19" spans="1:7">
      <c r="A19" s="74" t="s">
        <v>83</v>
      </c>
      <c r="B19" s="75">
        <v>500</v>
      </c>
      <c r="C19" s="74">
        <v>7.8</v>
      </c>
      <c r="D19" s="74">
        <v>7</v>
      </c>
      <c r="E19" s="74">
        <v>5.4</v>
      </c>
      <c r="F19" s="74">
        <v>4.5999999999999996</v>
      </c>
      <c r="G19" s="74">
        <v>4</v>
      </c>
    </row>
    <row r="20" spans="1:7">
      <c r="A20" s="74" t="s">
        <v>83</v>
      </c>
      <c r="B20" s="75">
        <v>630</v>
      </c>
      <c r="C20" s="74">
        <v>7.8</v>
      </c>
      <c r="D20" s="74">
        <v>7</v>
      </c>
      <c r="E20" s="74">
        <v>5.4</v>
      </c>
      <c r="F20" s="74">
        <v>4.5999999999999996</v>
      </c>
      <c r="G20" s="74">
        <v>4</v>
      </c>
    </row>
    <row r="21" spans="1:7">
      <c r="A21" s="74" t="s">
        <v>84</v>
      </c>
      <c r="B21" s="75">
        <v>20</v>
      </c>
      <c r="C21" s="74">
        <v>7.5</v>
      </c>
      <c r="D21" s="74">
        <v>5.8</v>
      </c>
      <c r="E21" s="74">
        <v>4.4000000000000004</v>
      </c>
      <c r="F21" s="74">
        <v>3.5</v>
      </c>
      <c r="G21" s="74">
        <v>3</v>
      </c>
    </row>
    <row r="22" spans="1:7">
      <c r="A22" s="74" t="s">
        <v>84</v>
      </c>
      <c r="B22" s="75">
        <v>32</v>
      </c>
      <c r="C22" s="74">
        <v>7.5</v>
      </c>
      <c r="D22" s="74">
        <v>5.8</v>
      </c>
      <c r="E22" s="74">
        <v>4.4000000000000004</v>
      </c>
      <c r="F22" s="74">
        <v>3.5</v>
      </c>
      <c r="G22" s="74">
        <v>3</v>
      </c>
    </row>
    <row r="23" spans="1:7">
      <c r="A23" s="74" t="s">
        <v>84</v>
      </c>
      <c r="B23" s="75">
        <v>50</v>
      </c>
      <c r="C23" s="74">
        <v>7.5</v>
      </c>
      <c r="D23" s="74">
        <v>5.8</v>
      </c>
      <c r="E23" s="74">
        <v>4.4000000000000004</v>
      </c>
      <c r="F23" s="74">
        <v>3.5</v>
      </c>
      <c r="G23" s="74">
        <v>3</v>
      </c>
    </row>
    <row r="24" spans="1:7">
      <c r="A24" s="74" t="s">
        <v>84</v>
      </c>
      <c r="B24" s="75">
        <v>63</v>
      </c>
      <c r="C24" s="74">
        <v>7.5</v>
      </c>
      <c r="D24" s="74">
        <v>5.8</v>
      </c>
      <c r="E24" s="74">
        <v>4.4000000000000004</v>
      </c>
      <c r="F24" s="74">
        <v>3.5</v>
      </c>
      <c r="G24" s="74">
        <v>3</v>
      </c>
    </row>
    <row r="25" spans="1:7">
      <c r="A25" s="74" t="s">
        <v>84</v>
      </c>
      <c r="B25" s="75">
        <v>100</v>
      </c>
      <c r="C25" s="74">
        <v>7.5</v>
      </c>
      <c r="D25" s="74">
        <v>5.8</v>
      </c>
      <c r="E25" s="74">
        <v>4.4000000000000004</v>
      </c>
      <c r="F25" s="74">
        <v>3.5</v>
      </c>
      <c r="G25" s="74">
        <v>3</v>
      </c>
    </row>
    <row r="26" spans="1:7">
      <c r="A26" s="74" t="s">
        <v>84</v>
      </c>
      <c r="B26" s="75">
        <v>160</v>
      </c>
      <c r="C26" s="74">
        <v>7.5</v>
      </c>
      <c r="D26" s="74">
        <v>6</v>
      </c>
      <c r="E26" s="74">
        <v>4.4000000000000004</v>
      </c>
      <c r="F26" s="74">
        <v>3.5</v>
      </c>
      <c r="G26" s="74">
        <v>3</v>
      </c>
    </row>
    <row r="27" spans="1:7">
      <c r="A27" s="74" t="s">
        <v>84</v>
      </c>
      <c r="B27" s="75">
        <v>220</v>
      </c>
      <c r="C27" s="74">
        <v>7.5</v>
      </c>
      <c r="D27" s="74">
        <v>6</v>
      </c>
      <c r="E27" s="74">
        <v>4.4000000000000004</v>
      </c>
      <c r="F27" s="74">
        <v>3.5</v>
      </c>
      <c r="G27" s="74">
        <v>3</v>
      </c>
    </row>
    <row r="28" spans="1:7">
      <c r="A28" s="74" t="s">
        <v>84</v>
      </c>
      <c r="B28" s="75">
        <v>320</v>
      </c>
      <c r="C28" s="74">
        <v>9</v>
      </c>
      <c r="D28" s="74">
        <v>6.8</v>
      </c>
      <c r="E28" s="74">
        <v>5</v>
      </c>
      <c r="F28" s="74">
        <v>4</v>
      </c>
      <c r="G28" s="74">
        <v>3.5</v>
      </c>
    </row>
    <row r="29" spans="1:7">
      <c r="A29" s="74" t="s">
        <v>84</v>
      </c>
      <c r="B29" s="75">
        <v>500</v>
      </c>
      <c r="C29" s="74">
        <v>9</v>
      </c>
      <c r="D29" s="74">
        <v>6.8</v>
      </c>
      <c r="E29" s="74">
        <v>5</v>
      </c>
      <c r="F29" s="74">
        <v>4</v>
      </c>
      <c r="G29" s="74">
        <v>3.5</v>
      </c>
    </row>
    <row r="30" spans="1:7">
      <c r="A30" s="74" t="s">
        <v>84</v>
      </c>
      <c r="B30" s="75">
        <v>630</v>
      </c>
      <c r="C30" s="74">
        <v>9</v>
      </c>
      <c r="D30" s="74">
        <v>6.8</v>
      </c>
      <c r="E30" s="74">
        <v>5</v>
      </c>
      <c r="F30" s="74">
        <v>4</v>
      </c>
      <c r="G30" s="74">
        <v>3.5</v>
      </c>
    </row>
    <row r="31" spans="1:7">
      <c r="A31" s="74" t="s">
        <v>85</v>
      </c>
      <c r="B31" s="75">
        <v>20</v>
      </c>
      <c r="C31" s="74">
        <v>3.8</v>
      </c>
      <c r="D31" s="74">
        <v>3.2</v>
      </c>
      <c r="E31" s="74">
        <v>2.8</v>
      </c>
      <c r="F31" s="74">
        <v>2.5</v>
      </c>
      <c r="G31" s="74">
        <v>2.2000000000000002</v>
      </c>
    </row>
    <row r="32" spans="1:7">
      <c r="A32" s="74" t="s">
        <v>85</v>
      </c>
      <c r="B32" s="75">
        <v>32</v>
      </c>
      <c r="C32" s="74">
        <v>3.8</v>
      </c>
      <c r="D32" s="74">
        <v>3.2</v>
      </c>
      <c r="E32" s="74">
        <v>2.8</v>
      </c>
      <c r="F32" s="74">
        <v>2.5</v>
      </c>
      <c r="G32" s="74">
        <v>2.2000000000000002</v>
      </c>
    </row>
    <row r="33" spans="1:7">
      <c r="A33" s="74" t="s">
        <v>85</v>
      </c>
      <c r="B33" s="75">
        <v>40</v>
      </c>
      <c r="C33" s="74">
        <v>5</v>
      </c>
      <c r="D33" s="74">
        <v>4.2</v>
      </c>
      <c r="E33" s="74">
        <v>3.5</v>
      </c>
      <c r="F33" s="74">
        <v>3</v>
      </c>
      <c r="G33" s="74">
        <v>2.7</v>
      </c>
    </row>
    <row r="34" spans="1:7">
      <c r="A34" s="74" t="s">
        <v>85</v>
      </c>
      <c r="B34" s="75">
        <v>50</v>
      </c>
      <c r="C34" s="74">
        <v>5</v>
      </c>
      <c r="D34" s="74">
        <v>4.2</v>
      </c>
      <c r="E34" s="74">
        <v>3.5</v>
      </c>
      <c r="F34" s="74">
        <v>3</v>
      </c>
      <c r="G34" s="74">
        <v>2.7</v>
      </c>
    </row>
    <row r="35" spans="1:7">
      <c r="A35" s="74" t="s">
        <v>85</v>
      </c>
      <c r="B35" s="75">
        <v>63</v>
      </c>
      <c r="C35" s="74">
        <v>5</v>
      </c>
      <c r="D35" s="74">
        <v>4.2</v>
      </c>
      <c r="E35" s="74">
        <v>3.5</v>
      </c>
      <c r="F35" s="74">
        <v>3</v>
      </c>
      <c r="G35" s="74">
        <v>2.7</v>
      </c>
    </row>
    <row r="36" spans="1:7">
      <c r="A36" s="74" t="s">
        <v>85</v>
      </c>
      <c r="B36" s="75">
        <v>75</v>
      </c>
      <c r="C36" s="74">
        <v>5</v>
      </c>
      <c r="D36" s="74">
        <v>4.2</v>
      </c>
      <c r="E36" s="74">
        <v>3.5</v>
      </c>
      <c r="F36" s="74">
        <v>3</v>
      </c>
      <c r="G36" s="74">
        <v>2.7</v>
      </c>
    </row>
    <row r="37" spans="1:7">
      <c r="A37" s="74" t="s">
        <v>85</v>
      </c>
      <c r="B37" s="75">
        <v>80</v>
      </c>
      <c r="C37" s="74">
        <v>5</v>
      </c>
      <c r="D37" s="74">
        <v>4.2</v>
      </c>
      <c r="E37" s="74">
        <v>3.5</v>
      </c>
      <c r="F37" s="74">
        <v>3</v>
      </c>
      <c r="G37" s="74">
        <v>2.7</v>
      </c>
    </row>
    <row r="38" spans="1:7">
      <c r="A38" s="74" t="s">
        <v>85</v>
      </c>
      <c r="B38" s="75">
        <v>100</v>
      </c>
      <c r="C38" s="74">
        <v>5</v>
      </c>
      <c r="D38" s="74">
        <v>4.2</v>
      </c>
      <c r="E38" s="74">
        <v>3.5</v>
      </c>
      <c r="F38" s="74">
        <v>3</v>
      </c>
      <c r="G38" s="74">
        <v>2.7</v>
      </c>
    </row>
    <row r="39" spans="1:7">
      <c r="A39" s="74" t="s">
        <v>85</v>
      </c>
      <c r="B39" s="75">
        <v>125</v>
      </c>
      <c r="C39" s="74">
        <v>5</v>
      </c>
      <c r="D39" s="74">
        <v>4</v>
      </c>
      <c r="E39" s="74">
        <v>3.5</v>
      </c>
      <c r="F39" s="74">
        <v>3</v>
      </c>
      <c r="G39" s="74">
        <v>2.7</v>
      </c>
    </row>
    <row r="40" spans="1:7">
      <c r="A40" s="74" t="s">
        <v>85</v>
      </c>
      <c r="B40" s="75">
        <v>150</v>
      </c>
      <c r="C40" s="74">
        <v>5</v>
      </c>
      <c r="D40" s="74">
        <v>4</v>
      </c>
      <c r="E40" s="74">
        <v>3.5</v>
      </c>
      <c r="F40" s="74">
        <v>3</v>
      </c>
      <c r="G40" s="74">
        <v>2.7</v>
      </c>
    </row>
    <row r="41" spans="1:7">
      <c r="A41" s="74" t="s">
        <v>85</v>
      </c>
      <c r="B41" s="75">
        <v>160</v>
      </c>
      <c r="C41" s="74">
        <v>5</v>
      </c>
      <c r="D41" s="74">
        <v>4</v>
      </c>
      <c r="E41" s="74">
        <v>3.5</v>
      </c>
      <c r="F41" s="74">
        <v>3</v>
      </c>
      <c r="G41" s="74">
        <v>2.7</v>
      </c>
    </row>
    <row r="42" spans="1:7">
      <c r="A42" s="74" t="s">
        <v>85</v>
      </c>
      <c r="B42" s="75">
        <v>175</v>
      </c>
      <c r="C42" s="74">
        <v>5</v>
      </c>
      <c r="D42" s="74">
        <v>4</v>
      </c>
      <c r="E42" s="74">
        <v>3.5</v>
      </c>
      <c r="F42" s="74">
        <v>3</v>
      </c>
      <c r="G42" s="74">
        <v>2.7</v>
      </c>
    </row>
    <row r="43" spans="1:7">
      <c r="A43" s="74" t="s">
        <v>85</v>
      </c>
      <c r="B43" s="75">
        <v>200</v>
      </c>
      <c r="C43" s="74">
        <v>5</v>
      </c>
      <c r="D43" s="74">
        <v>4</v>
      </c>
      <c r="E43" s="74">
        <v>3.5</v>
      </c>
      <c r="F43" s="74">
        <v>3</v>
      </c>
      <c r="G43" s="74">
        <v>2.7</v>
      </c>
    </row>
    <row r="44" spans="1:7">
      <c r="A44" s="74" t="s">
        <v>85</v>
      </c>
      <c r="B44" s="75">
        <v>225</v>
      </c>
      <c r="C44" s="74">
        <v>5</v>
      </c>
      <c r="D44" s="74">
        <v>4</v>
      </c>
      <c r="E44" s="74">
        <v>3.5</v>
      </c>
      <c r="F44" s="74">
        <v>3</v>
      </c>
      <c r="G44" s="74">
        <v>2.7</v>
      </c>
    </row>
    <row r="45" spans="1:7">
      <c r="A45" s="74" t="s">
        <v>85</v>
      </c>
      <c r="B45" s="75">
        <v>250</v>
      </c>
      <c r="C45" s="74">
        <v>5</v>
      </c>
      <c r="D45" s="74">
        <v>4</v>
      </c>
      <c r="E45" s="74">
        <v>3.5</v>
      </c>
      <c r="F45" s="74">
        <v>3</v>
      </c>
      <c r="G45" s="74">
        <v>2.7</v>
      </c>
    </row>
    <row r="46" spans="1:7">
      <c r="A46" s="74" t="s">
        <v>85</v>
      </c>
      <c r="B46" s="75">
        <v>300</v>
      </c>
      <c r="C46" s="74">
        <v>5.5</v>
      </c>
      <c r="D46" s="74">
        <v>4.5</v>
      </c>
      <c r="E46" s="74">
        <v>4</v>
      </c>
      <c r="F46" s="74">
        <v>3.5</v>
      </c>
      <c r="G46" s="74">
        <v>3</v>
      </c>
    </row>
    <row r="47" spans="1:7">
      <c r="A47" s="74" t="s">
        <v>85</v>
      </c>
      <c r="B47" s="75">
        <v>350</v>
      </c>
      <c r="C47" s="74">
        <v>5.5</v>
      </c>
      <c r="D47" s="74">
        <v>4.5</v>
      </c>
      <c r="E47" s="74">
        <v>4</v>
      </c>
      <c r="F47" s="74">
        <v>3.5</v>
      </c>
      <c r="G47" s="74">
        <v>3</v>
      </c>
    </row>
    <row r="48" spans="1:7">
      <c r="A48" s="74" t="s">
        <v>85</v>
      </c>
      <c r="B48" s="75">
        <v>400</v>
      </c>
      <c r="C48" s="74">
        <v>5.5</v>
      </c>
      <c r="D48" s="74">
        <v>4.5</v>
      </c>
      <c r="E48" s="74">
        <v>4</v>
      </c>
      <c r="F48" s="74">
        <v>3.5</v>
      </c>
      <c r="G48" s="74">
        <v>3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EFB2-E90C-46B8-BF3E-7F0DA16A71A8}">
  <sheetPr>
    <tabColor theme="7"/>
  </sheetPr>
  <dimension ref="A1:D24"/>
  <sheetViews>
    <sheetView workbookViewId="0">
      <selection activeCell="J21" sqref="J21"/>
    </sheetView>
  </sheetViews>
  <sheetFormatPr defaultRowHeight="12"/>
  <cols>
    <col min="1" max="16384" width="9" style="3"/>
  </cols>
  <sheetData>
    <row r="1" spans="1:4">
      <c r="A1" s="85" t="s">
        <v>96</v>
      </c>
      <c r="B1" s="85" t="s">
        <v>87</v>
      </c>
      <c r="C1" s="85" t="s">
        <v>32</v>
      </c>
      <c r="D1" s="85" t="s">
        <v>31</v>
      </c>
    </row>
    <row r="2" spans="1:4">
      <c r="A2" s="74" t="s">
        <v>95</v>
      </c>
      <c r="B2" s="74">
        <v>0.01</v>
      </c>
      <c r="C2" s="74">
        <v>0.57999999999999996</v>
      </c>
      <c r="D2" s="74">
        <v>0.53</v>
      </c>
    </row>
    <row r="3" spans="1:4">
      <c r="A3" s="74" t="s">
        <v>95</v>
      </c>
      <c r="B3" s="74">
        <v>0.2</v>
      </c>
      <c r="C3" s="74">
        <v>0.57999999999999996</v>
      </c>
      <c r="D3" s="74">
        <v>0.53</v>
      </c>
    </row>
    <row r="4" spans="1:4">
      <c r="A4" s="74" t="s">
        <v>95</v>
      </c>
      <c r="B4" s="74">
        <v>0.4</v>
      </c>
      <c r="C4" s="74">
        <v>0.65</v>
      </c>
      <c r="D4" s="74">
        <v>0.63</v>
      </c>
    </row>
    <row r="5" spans="1:4">
      <c r="A5" s="74" t="s">
        <v>95</v>
      </c>
      <c r="B5" s="74">
        <v>0.75</v>
      </c>
      <c r="C5" s="74">
        <v>0.71499999999999997</v>
      </c>
      <c r="D5" s="74">
        <v>0.7</v>
      </c>
    </row>
    <row r="6" spans="1:4">
      <c r="A6" s="74" t="s">
        <v>95</v>
      </c>
      <c r="B6" s="74">
        <v>1.5</v>
      </c>
      <c r="C6" s="74">
        <v>0.78</v>
      </c>
      <c r="D6" s="74">
        <v>0.75</v>
      </c>
    </row>
    <row r="7" spans="1:4">
      <c r="A7" s="74" t="s">
        <v>95</v>
      </c>
      <c r="B7" s="74">
        <v>2.2000000000000002</v>
      </c>
      <c r="C7" s="74">
        <v>0.81</v>
      </c>
      <c r="D7" s="74">
        <v>0.77</v>
      </c>
    </row>
    <row r="8" spans="1:4">
      <c r="A8" s="74" t="s">
        <v>95</v>
      </c>
      <c r="B8" s="74">
        <v>3.7</v>
      </c>
      <c r="C8" s="74">
        <v>0.83</v>
      </c>
      <c r="D8" s="74">
        <v>0.78</v>
      </c>
    </row>
    <row r="9" spans="1:4">
      <c r="A9" s="74" t="s">
        <v>95</v>
      </c>
      <c r="B9" s="74">
        <v>5.5</v>
      </c>
      <c r="C9" s="74">
        <v>0.85</v>
      </c>
      <c r="D9" s="74">
        <v>0.77</v>
      </c>
    </row>
    <row r="10" spans="1:4">
      <c r="A10" s="74" t="s">
        <v>95</v>
      </c>
      <c r="B10" s="74">
        <v>7.5</v>
      </c>
      <c r="C10" s="74">
        <v>0.86</v>
      </c>
      <c r="D10" s="74">
        <v>0.78</v>
      </c>
    </row>
    <row r="11" spans="1:4">
      <c r="A11" s="74" t="s">
        <v>95</v>
      </c>
      <c r="B11" s="74">
        <v>11</v>
      </c>
      <c r="C11" s="74">
        <v>0.87</v>
      </c>
      <c r="D11" s="74">
        <v>0.79</v>
      </c>
    </row>
    <row r="12" spans="1:4">
      <c r="A12" s="74" t="s">
        <v>95</v>
      </c>
      <c r="B12" s="74">
        <v>15</v>
      </c>
      <c r="C12" s="74">
        <v>0.88</v>
      </c>
      <c r="D12" s="74">
        <v>0.79500000000000004</v>
      </c>
    </row>
    <row r="13" spans="1:4">
      <c r="A13" s="74" t="s">
        <v>95</v>
      </c>
      <c r="B13" s="74">
        <v>18.5</v>
      </c>
      <c r="C13" s="74">
        <v>0.88500000000000001</v>
      </c>
      <c r="D13" s="74">
        <v>0.8</v>
      </c>
    </row>
    <row r="14" spans="1:4">
      <c r="A14" s="74" t="s">
        <v>95</v>
      </c>
      <c r="B14" s="74">
        <v>22</v>
      </c>
      <c r="C14" s="74">
        <v>0.89</v>
      </c>
      <c r="D14" s="74">
        <v>0.80500000000000005</v>
      </c>
    </row>
    <row r="15" spans="1:4">
      <c r="A15" s="74" t="s">
        <v>95</v>
      </c>
      <c r="B15" s="74">
        <v>30</v>
      </c>
      <c r="C15" s="74">
        <v>0.89500000000000002</v>
      </c>
      <c r="D15" s="74">
        <v>0.81499999999999995</v>
      </c>
    </row>
    <row r="16" spans="1:4">
      <c r="A16" s="74" t="s">
        <v>95</v>
      </c>
      <c r="B16" s="74">
        <v>37</v>
      </c>
      <c r="C16" s="74">
        <v>0.9</v>
      </c>
      <c r="D16" s="74">
        <v>0.81499999999999995</v>
      </c>
    </row>
    <row r="17" spans="1:4">
      <c r="A17" s="74" t="s">
        <v>95</v>
      </c>
      <c r="B17" s="74">
        <v>45</v>
      </c>
      <c r="C17" s="74">
        <v>0.90500000000000003</v>
      </c>
      <c r="D17" s="74">
        <v>0.83</v>
      </c>
    </row>
    <row r="18" spans="1:4">
      <c r="A18" s="74" t="s">
        <v>95</v>
      </c>
      <c r="B18" s="74">
        <v>55</v>
      </c>
      <c r="C18" s="74">
        <v>0.90500000000000003</v>
      </c>
      <c r="D18" s="74">
        <v>0.83499999999999996</v>
      </c>
    </row>
    <row r="19" spans="1:4">
      <c r="A19" s="74" t="s">
        <v>95</v>
      </c>
      <c r="B19" s="74">
        <v>75</v>
      </c>
      <c r="C19" s="74">
        <v>0.90700000000000003</v>
      </c>
      <c r="D19" s="74">
        <v>0.84499999999999997</v>
      </c>
    </row>
    <row r="20" spans="1:4">
      <c r="A20" s="74" t="s">
        <v>95</v>
      </c>
      <c r="B20" s="74">
        <v>90</v>
      </c>
      <c r="C20" s="74">
        <v>0.91200000000000003</v>
      </c>
      <c r="D20" s="74">
        <v>0.85</v>
      </c>
    </row>
    <row r="21" spans="1:4">
      <c r="A21" s="74" t="s">
        <v>95</v>
      </c>
      <c r="B21" s="74">
        <v>110</v>
      </c>
      <c r="C21" s="74">
        <v>0.91500000000000004</v>
      </c>
      <c r="D21" s="74">
        <v>0.86</v>
      </c>
    </row>
    <row r="22" spans="1:4">
      <c r="A22" s="74" t="s">
        <v>95</v>
      </c>
      <c r="B22" s="74">
        <v>132</v>
      </c>
      <c r="C22" s="74">
        <v>0.91700000000000004</v>
      </c>
      <c r="D22" s="74">
        <v>0.87</v>
      </c>
    </row>
    <row r="23" spans="1:4">
      <c r="A23" s="74" t="s">
        <v>95</v>
      </c>
      <c r="B23" s="74">
        <v>160</v>
      </c>
      <c r="C23" s="74">
        <v>0.92</v>
      </c>
      <c r="D23" s="74">
        <v>0.88</v>
      </c>
    </row>
    <row r="24" spans="1:4">
      <c r="A24" s="74" t="s">
        <v>95</v>
      </c>
      <c r="B24" s="74">
        <v>200</v>
      </c>
      <c r="C24" s="74">
        <v>0.92400000000000004</v>
      </c>
      <c r="D24" s="74">
        <v>0.88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4A19-6CAC-4EC0-9703-DF18CFDF1B84}">
  <sheetPr>
    <tabColor theme="7"/>
  </sheetPr>
  <dimension ref="A2:C31"/>
  <sheetViews>
    <sheetView workbookViewId="0">
      <selection activeCell="H37" sqref="H37"/>
    </sheetView>
  </sheetViews>
  <sheetFormatPr defaultRowHeight="14.25"/>
  <cols>
    <col min="1" max="1" width="9" style="82"/>
  </cols>
  <sheetData>
    <row r="2" spans="1:3">
      <c r="A2" s="86" t="s">
        <v>82</v>
      </c>
    </row>
    <row r="3" spans="1:3">
      <c r="A3" s="87">
        <v>15</v>
      </c>
    </row>
    <row r="4" spans="1:3">
      <c r="A4" s="87">
        <v>20</v>
      </c>
    </row>
    <row r="5" spans="1:3">
      <c r="A5" s="87">
        <v>30</v>
      </c>
    </row>
    <row r="6" spans="1:3">
      <c r="A6" s="87">
        <v>40</v>
      </c>
    </row>
    <row r="7" spans="1:3">
      <c r="A7" s="87">
        <v>50</v>
      </c>
    </row>
    <row r="8" spans="1:3">
      <c r="A8" s="87">
        <v>60</v>
      </c>
    </row>
    <row r="9" spans="1:3">
      <c r="A9" s="87">
        <v>75</v>
      </c>
      <c r="C9" s="81"/>
    </row>
    <row r="10" spans="1:3">
      <c r="A10" s="87">
        <v>100</v>
      </c>
    </row>
    <row r="11" spans="1:3">
      <c r="A11" s="87">
        <v>125</v>
      </c>
    </row>
    <row r="12" spans="1:3">
      <c r="A12" s="87">
        <v>150</v>
      </c>
    </row>
    <row r="13" spans="1:3">
      <c r="A13" s="87">
        <v>175</v>
      </c>
    </row>
    <row r="14" spans="1:3">
      <c r="A14" s="87">
        <v>200</v>
      </c>
    </row>
    <row r="15" spans="1:3">
      <c r="A15" s="87">
        <v>225</v>
      </c>
    </row>
    <row r="16" spans="1:3">
      <c r="A16" s="87">
        <v>250</v>
      </c>
    </row>
    <row r="17" spans="1:1">
      <c r="A17" s="87">
        <v>300</v>
      </c>
    </row>
    <row r="18" spans="1:1">
      <c r="A18" s="87">
        <v>350</v>
      </c>
    </row>
    <row r="19" spans="1:1">
      <c r="A19" s="87">
        <v>400</v>
      </c>
    </row>
    <row r="20" spans="1:1">
      <c r="A20" s="87">
        <v>500</v>
      </c>
    </row>
    <row r="21" spans="1:1">
      <c r="A21" s="87">
        <v>600</v>
      </c>
    </row>
    <row r="22" spans="1:1">
      <c r="A22" s="87">
        <v>700</v>
      </c>
    </row>
    <row r="23" spans="1:1">
      <c r="A23" s="87">
        <v>800</v>
      </c>
    </row>
    <row r="24" spans="1:1">
      <c r="A24" s="87">
        <v>900</v>
      </c>
    </row>
    <row r="25" spans="1:1">
      <c r="A25" s="87">
        <v>1000</v>
      </c>
    </row>
    <row r="26" spans="1:1">
      <c r="A26" s="87">
        <v>1250</v>
      </c>
    </row>
    <row r="27" spans="1:1">
      <c r="A27" s="87">
        <v>1600</v>
      </c>
    </row>
    <row r="28" spans="1:1">
      <c r="A28" s="87">
        <v>2000</v>
      </c>
    </row>
    <row r="29" spans="1:1">
      <c r="A29" s="87">
        <v>4000</v>
      </c>
    </row>
    <row r="30" spans="1:1">
      <c r="A30" s="87">
        <v>5000</v>
      </c>
    </row>
    <row r="31" spans="1:1">
      <c r="A31" s="87">
        <v>6300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6C23-C8D5-43FA-9B8C-2C213D4932B2}">
  <sheetPr codeName="Sheet18">
    <tabColor rgb="FF7030A0"/>
  </sheetPr>
  <dimension ref="A1:AG83"/>
  <sheetViews>
    <sheetView showZeros="0" view="pageBreakPreview" zoomScale="90" zoomScaleNormal="100" zoomScaleSheetLayoutView="90" workbookViewId="0">
      <selection activeCell="N33" sqref="N33"/>
    </sheetView>
  </sheetViews>
  <sheetFormatPr defaultColWidth="11.125" defaultRowHeight="17.100000000000001" customHeight="1"/>
  <cols>
    <col min="1" max="1" width="9.5" style="46" customWidth="1"/>
    <col min="2" max="2" width="6.25" style="47" customWidth="1"/>
    <col min="3" max="3" width="6.125" style="47" customWidth="1"/>
    <col min="4" max="4" width="10.5" style="48" customWidth="1"/>
    <col min="5" max="5" width="7.25" style="1" customWidth="1"/>
    <col min="6" max="6" width="4.75" style="1" customWidth="1"/>
    <col min="7" max="8" width="6.75" style="1" customWidth="1"/>
    <col min="9" max="9" width="7.125" style="1" customWidth="1"/>
    <col min="10" max="10" width="9.75" style="1" customWidth="1"/>
    <col min="11" max="11" width="7.5" style="1" customWidth="1"/>
    <col min="12" max="33" width="9.375" style="1" customWidth="1"/>
    <col min="34" max="16384" width="11.125" style="1"/>
  </cols>
  <sheetData>
    <row r="1" spans="1:33" ht="17.100000000000001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</row>
    <row r="2" spans="1:33" ht="17.100000000000001" customHeight="1">
      <c r="A2" s="1"/>
      <c r="B2" s="1"/>
      <c r="C2" s="1"/>
      <c r="D2" s="1"/>
    </row>
    <row r="3" spans="1:33" ht="17.100000000000001" customHeight="1">
      <c r="A3" s="109" t="s">
        <v>51</v>
      </c>
      <c r="B3" s="107" t="s">
        <v>32</v>
      </c>
      <c r="C3" s="107" t="s">
        <v>31</v>
      </c>
      <c r="D3" s="105" t="s">
        <v>62</v>
      </c>
      <c r="E3" s="104" t="s">
        <v>50</v>
      </c>
      <c r="F3" s="104"/>
      <c r="G3" s="13" t="s">
        <v>49</v>
      </c>
      <c r="H3" s="13"/>
      <c r="I3" s="12" t="s">
        <v>48</v>
      </c>
      <c r="J3" s="12" t="s">
        <v>47</v>
      </c>
      <c r="K3" s="12" t="s">
        <v>46</v>
      </c>
      <c r="L3" s="14" t="s">
        <v>45</v>
      </c>
      <c r="M3" s="14"/>
      <c r="N3" s="14"/>
      <c r="O3" s="14"/>
      <c r="P3" s="14"/>
      <c r="Q3" s="14"/>
      <c r="R3" s="14"/>
      <c r="S3" s="12" t="s">
        <v>44</v>
      </c>
      <c r="T3" s="12" t="s">
        <v>43</v>
      </c>
      <c r="U3" s="14" t="s">
        <v>42</v>
      </c>
      <c r="V3" s="14"/>
      <c r="W3" s="14"/>
      <c r="X3" s="14"/>
      <c r="Y3" s="14"/>
      <c r="Z3" s="14"/>
      <c r="AA3" s="14" t="s">
        <v>41</v>
      </c>
      <c r="AB3" s="14"/>
      <c r="AC3" s="14"/>
      <c r="AD3" s="14"/>
      <c r="AE3" s="14"/>
      <c r="AF3" s="14"/>
      <c r="AG3" s="14"/>
    </row>
    <row r="4" spans="1:33" ht="17.100000000000001" customHeight="1">
      <c r="A4" s="110"/>
      <c r="B4" s="108"/>
      <c r="C4" s="108"/>
      <c r="D4" s="106"/>
      <c r="E4" s="12" t="s">
        <v>40</v>
      </c>
      <c r="F4" s="12" t="s">
        <v>39</v>
      </c>
      <c r="G4" s="12" t="s">
        <v>40</v>
      </c>
      <c r="H4" s="12" t="s">
        <v>39</v>
      </c>
      <c r="I4" s="12"/>
      <c r="J4" s="12"/>
      <c r="K4" s="12"/>
      <c r="L4" s="12" t="s">
        <v>38</v>
      </c>
      <c r="M4" s="12" t="s">
        <v>9</v>
      </c>
      <c r="N4" s="12" t="s">
        <v>37</v>
      </c>
      <c r="O4" s="12" t="s">
        <v>36</v>
      </c>
      <c r="P4" s="12" t="s">
        <v>35</v>
      </c>
      <c r="Q4" s="12" t="s">
        <v>34</v>
      </c>
      <c r="R4" s="12" t="s">
        <v>33</v>
      </c>
      <c r="S4" s="12"/>
      <c r="T4" s="12"/>
      <c r="U4" s="12" t="s">
        <v>38</v>
      </c>
      <c r="V4" s="12" t="s">
        <v>9</v>
      </c>
      <c r="W4" s="12" t="s">
        <v>36</v>
      </c>
      <c r="X4" s="12" t="s">
        <v>35</v>
      </c>
      <c r="Y4" s="12" t="s">
        <v>34</v>
      </c>
      <c r="Z4" s="12" t="s">
        <v>33</v>
      </c>
      <c r="AA4" s="12" t="s">
        <v>38</v>
      </c>
      <c r="AB4" s="12" t="s">
        <v>9</v>
      </c>
      <c r="AC4" s="12" t="s">
        <v>37</v>
      </c>
      <c r="AD4" s="12" t="s">
        <v>36</v>
      </c>
      <c r="AE4" s="12" t="s">
        <v>35</v>
      </c>
      <c r="AF4" s="12" t="s">
        <v>34</v>
      </c>
      <c r="AG4" s="12" t="s">
        <v>33</v>
      </c>
    </row>
    <row r="5" spans="1:33" ht="17.100000000000001" customHeight="1">
      <c r="A5" s="16">
        <v>1E-3</v>
      </c>
      <c r="B5" s="17"/>
      <c r="C5" s="18"/>
      <c r="D5" s="19">
        <v>0.95</v>
      </c>
      <c r="E5" s="20">
        <v>50</v>
      </c>
      <c r="F5" s="21">
        <v>15</v>
      </c>
      <c r="G5" s="20">
        <v>50</v>
      </c>
      <c r="H5" s="21">
        <v>15</v>
      </c>
      <c r="I5" s="22" t="s">
        <v>29</v>
      </c>
      <c r="J5" s="23" t="s">
        <v>30</v>
      </c>
      <c r="K5" s="24" t="s">
        <v>0</v>
      </c>
      <c r="L5" s="22">
        <v>200</v>
      </c>
      <c r="M5" s="25">
        <v>300</v>
      </c>
      <c r="N5" s="25">
        <v>400</v>
      </c>
      <c r="O5" s="25"/>
      <c r="P5" s="25"/>
      <c r="Q5" s="25"/>
      <c r="R5" s="26"/>
      <c r="S5" s="24">
        <v>4</v>
      </c>
      <c r="T5" s="26">
        <v>4</v>
      </c>
      <c r="U5" s="25">
        <v>240</v>
      </c>
      <c r="V5" s="25">
        <v>240</v>
      </c>
      <c r="W5" s="25">
        <v>240</v>
      </c>
      <c r="X5" s="25"/>
      <c r="Y5" s="25"/>
      <c r="Z5" s="26"/>
      <c r="AA5" s="25">
        <v>200</v>
      </c>
      <c r="AB5" s="25">
        <v>200</v>
      </c>
      <c r="AC5" s="25">
        <v>300</v>
      </c>
      <c r="AD5" s="25"/>
      <c r="AE5" s="25"/>
      <c r="AF5" s="25"/>
      <c r="AG5" s="26"/>
    </row>
    <row r="6" spans="1:33" ht="17.100000000000001" customHeight="1">
      <c r="A6" s="27">
        <v>0.2</v>
      </c>
      <c r="B6" s="17">
        <v>58</v>
      </c>
      <c r="C6" s="18">
        <v>53</v>
      </c>
      <c r="D6" s="19">
        <v>0.95</v>
      </c>
      <c r="E6" s="20">
        <v>50</v>
      </c>
      <c r="F6" s="21">
        <v>15</v>
      </c>
      <c r="G6" s="20">
        <v>50</v>
      </c>
      <c r="H6" s="21">
        <v>15</v>
      </c>
      <c r="I6" s="22" t="s">
        <v>29</v>
      </c>
      <c r="J6" s="23" t="s">
        <v>30</v>
      </c>
      <c r="K6" s="24" t="s">
        <v>0</v>
      </c>
      <c r="L6" s="22">
        <v>200</v>
      </c>
      <c r="M6" s="25">
        <v>300</v>
      </c>
      <c r="N6" s="25">
        <v>400</v>
      </c>
      <c r="O6" s="25"/>
      <c r="P6" s="25"/>
      <c r="Q6" s="25"/>
      <c r="R6" s="26">
        <v>900</v>
      </c>
      <c r="S6" s="24">
        <v>4</v>
      </c>
      <c r="T6" s="26">
        <v>4</v>
      </c>
      <c r="U6" s="25">
        <v>240</v>
      </c>
      <c r="V6" s="25">
        <v>240</v>
      </c>
      <c r="W6" s="25">
        <v>240</v>
      </c>
      <c r="X6" s="25"/>
      <c r="Y6" s="25"/>
      <c r="Z6" s="26"/>
      <c r="AA6" s="25">
        <v>200</v>
      </c>
      <c r="AB6" s="25">
        <v>200</v>
      </c>
      <c r="AC6" s="25">
        <v>300</v>
      </c>
      <c r="AD6" s="25"/>
      <c r="AE6" s="25"/>
      <c r="AF6" s="25"/>
      <c r="AG6" s="26">
        <v>900</v>
      </c>
    </row>
    <row r="7" spans="1:33" ht="17.100000000000001" customHeight="1">
      <c r="A7" s="27">
        <v>0.25</v>
      </c>
      <c r="B7" s="17">
        <v>65</v>
      </c>
      <c r="C7" s="18">
        <v>63</v>
      </c>
      <c r="D7" s="19">
        <f>ROUND(D$6+((D$8-D$6)*((A7-A$6)/(A$8-A$6))),2)</f>
        <v>1.1299999999999999</v>
      </c>
      <c r="E7" s="20">
        <v>50</v>
      </c>
      <c r="F7" s="21">
        <v>15</v>
      </c>
      <c r="G7" s="20">
        <v>50</v>
      </c>
      <c r="H7" s="21">
        <v>15</v>
      </c>
      <c r="I7" s="22" t="s">
        <v>23</v>
      </c>
      <c r="J7" s="23" t="s">
        <v>23</v>
      </c>
      <c r="K7" s="24" t="s">
        <v>0</v>
      </c>
      <c r="L7" s="22">
        <v>200</v>
      </c>
      <c r="M7" s="25">
        <v>300</v>
      </c>
      <c r="N7" s="25">
        <v>400</v>
      </c>
      <c r="O7" s="25"/>
      <c r="P7" s="25"/>
      <c r="Q7" s="25"/>
      <c r="R7" s="26">
        <v>900</v>
      </c>
      <c r="S7" s="24">
        <v>4</v>
      </c>
      <c r="T7" s="26">
        <v>4</v>
      </c>
      <c r="U7" s="25">
        <v>240</v>
      </c>
      <c r="V7" s="25">
        <v>240</v>
      </c>
      <c r="W7" s="25">
        <v>240</v>
      </c>
      <c r="X7" s="25"/>
      <c r="Y7" s="25"/>
      <c r="Z7" s="26"/>
      <c r="AA7" s="25">
        <v>200</v>
      </c>
      <c r="AB7" s="25">
        <v>200</v>
      </c>
      <c r="AC7" s="25">
        <v>300</v>
      </c>
      <c r="AD7" s="25"/>
      <c r="AE7" s="25"/>
      <c r="AF7" s="25"/>
      <c r="AG7" s="26">
        <v>900</v>
      </c>
    </row>
    <row r="8" spans="1:33" ht="17.100000000000001" customHeight="1">
      <c r="A8" s="27">
        <v>0.4</v>
      </c>
      <c r="B8" s="17">
        <v>65</v>
      </c>
      <c r="C8" s="18">
        <v>63</v>
      </c>
      <c r="D8" s="19">
        <v>1.68</v>
      </c>
      <c r="E8" s="20">
        <v>50</v>
      </c>
      <c r="F8" s="21">
        <v>15</v>
      </c>
      <c r="G8" s="20">
        <v>50</v>
      </c>
      <c r="H8" s="21">
        <v>15</v>
      </c>
      <c r="I8" s="22" t="s">
        <v>29</v>
      </c>
      <c r="J8" s="23" t="s">
        <v>30</v>
      </c>
      <c r="K8" s="24" t="s">
        <v>0</v>
      </c>
      <c r="L8" s="22">
        <v>200</v>
      </c>
      <c r="M8" s="25">
        <v>300</v>
      </c>
      <c r="N8" s="25">
        <v>400</v>
      </c>
      <c r="O8" s="25"/>
      <c r="P8" s="25"/>
      <c r="Q8" s="25"/>
      <c r="R8" s="26">
        <v>900</v>
      </c>
      <c r="S8" s="24">
        <v>4</v>
      </c>
      <c r="T8" s="26">
        <v>4</v>
      </c>
      <c r="U8" s="25">
        <v>240</v>
      </c>
      <c r="V8" s="25">
        <v>240</v>
      </c>
      <c r="W8" s="25">
        <v>240</v>
      </c>
      <c r="X8" s="25"/>
      <c r="Y8" s="25"/>
      <c r="Z8" s="26"/>
      <c r="AA8" s="25">
        <v>200</v>
      </c>
      <c r="AB8" s="25">
        <v>200</v>
      </c>
      <c r="AC8" s="25">
        <v>300</v>
      </c>
      <c r="AD8" s="25"/>
      <c r="AE8" s="25"/>
      <c r="AF8" s="25"/>
      <c r="AG8" s="26">
        <v>900</v>
      </c>
    </row>
    <row r="9" spans="1:33" ht="17.100000000000001" customHeight="1">
      <c r="A9" s="27">
        <v>0.5</v>
      </c>
      <c r="B9" s="17">
        <v>71.5</v>
      </c>
      <c r="C9" s="18">
        <v>70</v>
      </c>
      <c r="D9" s="19">
        <f>ROUND(D$8+((D$11-D$8)*((A9-A$8)/(A$11-A$8))),2)</f>
        <v>1.92</v>
      </c>
      <c r="E9" s="20">
        <v>50</v>
      </c>
      <c r="F9" s="21">
        <v>15</v>
      </c>
      <c r="G9" s="20">
        <v>50</v>
      </c>
      <c r="H9" s="21">
        <v>15</v>
      </c>
      <c r="I9" s="22" t="s">
        <v>29</v>
      </c>
      <c r="J9" s="23" t="s">
        <v>30</v>
      </c>
      <c r="K9" s="24" t="s">
        <v>0</v>
      </c>
      <c r="L9" s="22">
        <v>200</v>
      </c>
      <c r="M9" s="25">
        <v>300</v>
      </c>
      <c r="N9" s="25">
        <v>400</v>
      </c>
      <c r="O9" s="25"/>
      <c r="P9" s="25"/>
      <c r="Q9" s="25"/>
      <c r="R9" s="26">
        <v>900</v>
      </c>
      <c r="S9" s="24">
        <v>4</v>
      </c>
      <c r="T9" s="26">
        <v>4</v>
      </c>
      <c r="U9" s="25">
        <v>240</v>
      </c>
      <c r="V9" s="25">
        <v>240</v>
      </c>
      <c r="W9" s="25">
        <v>240</v>
      </c>
      <c r="X9" s="25"/>
      <c r="Y9" s="25"/>
      <c r="Z9" s="26"/>
      <c r="AA9" s="25">
        <v>200</v>
      </c>
      <c r="AB9" s="25">
        <v>200</v>
      </c>
      <c r="AC9" s="25">
        <v>300</v>
      </c>
      <c r="AD9" s="25"/>
      <c r="AE9" s="25"/>
      <c r="AF9" s="25"/>
      <c r="AG9" s="26">
        <v>900</v>
      </c>
    </row>
    <row r="10" spans="1:33" ht="15.75" customHeight="1">
      <c r="A10" s="27">
        <v>0.74</v>
      </c>
      <c r="B10" s="17">
        <v>71.5</v>
      </c>
      <c r="C10" s="18">
        <v>70</v>
      </c>
      <c r="D10" s="19">
        <f>ROUND(D$8+((D$11-D$8)*((A10-A$8)/(A$11-A$8))),2)</f>
        <v>2.5099999999999998</v>
      </c>
      <c r="E10" s="20">
        <v>50</v>
      </c>
      <c r="F10" s="21">
        <v>15</v>
      </c>
      <c r="G10" s="20">
        <v>50</v>
      </c>
      <c r="H10" s="21">
        <v>15</v>
      </c>
      <c r="I10" s="22" t="s">
        <v>29</v>
      </c>
      <c r="J10" s="23" t="s">
        <v>30</v>
      </c>
      <c r="K10" s="24" t="s">
        <v>0</v>
      </c>
      <c r="L10" s="22">
        <v>200</v>
      </c>
      <c r="M10" s="25">
        <v>300</v>
      </c>
      <c r="N10" s="25">
        <v>400</v>
      </c>
      <c r="O10" s="25"/>
      <c r="P10" s="25"/>
      <c r="Q10" s="25"/>
      <c r="R10" s="26">
        <v>900</v>
      </c>
      <c r="S10" s="24">
        <v>4</v>
      </c>
      <c r="T10" s="26">
        <v>4</v>
      </c>
      <c r="U10" s="25">
        <v>240</v>
      </c>
      <c r="V10" s="25">
        <v>240</v>
      </c>
      <c r="W10" s="25">
        <v>240</v>
      </c>
      <c r="X10" s="25"/>
      <c r="Y10" s="25"/>
      <c r="Z10" s="26"/>
      <c r="AA10" s="25">
        <v>200</v>
      </c>
      <c r="AB10" s="25">
        <v>200</v>
      </c>
      <c r="AC10" s="25">
        <v>300</v>
      </c>
      <c r="AD10" s="25"/>
      <c r="AE10" s="25"/>
      <c r="AF10" s="25"/>
      <c r="AG10" s="26">
        <v>900</v>
      </c>
    </row>
    <row r="11" spans="1:33" ht="17.100000000000001" customHeight="1">
      <c r="A11" s="27">
        <v>0.75</v>
      </c>
      <c r="B11" s="17">
        <v>71.5</v>
      </c>
      <c r="C11" s="18">
        <v>70</v>
      </c>
      <c r="D11" s="19">
        <v>2.5299999999999998</v>
      </c>
      <c r="E11" s="20">
        <v>50</v>
      </c>
      <c r="F11" s="21">
        <v>15</v>
      </c>
      <c r="G11" s="20">
        <v>50</v>
      </c>
      <c r="H11" s="21">
        <v>15</v>
      </c>
      <c r="I11" s="22" t="s">
        <v>29</v>
      </c>
      <c r="J11" s="23" t="s">
        <v>30</v>
      </c>
      <c r="K11" s="24" t="s">
        <v>0</v>
      </c>
      <c r="L11" s="22">
        <v>200</v>
      </c>
      <c r="M11" s="25">
        <v>300</v>
      </c>
      <c r="N11" s="25">
        <v>400</v>
      </c>
      <c r="O11" s="25"/>
      <c r="P11" s="25"/>
      <c r="Q11" s="25"/>
      <c r="R11" s="26">
        <v>900</v>
      </c>
      <c r="S11" s="24">
        <v>4</v>
      </c>
      <c r="T11" s="26">
        <v>4</v>
      </c>
      <c r="U11" s="25">
        <v>240</v>
      </c>
      <c r="V11" s="25">
        <v>240</v>
      </c>
      <c r="W11" s="25">
        <v>240</v>
      </c>
      <c r="X11" s="25"/>
      <c r="Y11" s="25"/>
      <c r="Z11" s="26"/>
      <c r="AA11" s="25">
        <v>200</v>
      </c>
      <c r="AB11" s="25">
        <v>200</v>
      </c>
      <c r="AC11" s="25">
        <v>300</v>
      </c>
      <c r="AD11" s="25"/>
      <c r="AE11" s="25"/>
      <c r="AF11" s="25"/>
      <c r="AG11" s="26">
        <v>900</v>
      </c>
    </row>
    <row r="12" spans="1:33" ht="15.75" customHeight="1">
      <c r="A12" s="27">
        <v>0.79</v>
      </c>
      <c r="B12" s="17">
        <v>78</v>
      </c>
      <c r="C12" s="18">
        <v>75</v>
      </c>
      <c r="D12" s="19">
        <f>ROUND(D$11+((D$17-D$11)*((A12-A$11)/(A$17-A$11))),2)</f>
        <v>2.62</v>
      </c>
      <c r="E12" s="20">
        <v>50</v>
      </c>
      <c r="F12" s="21">
        <v>15</v>
      </c>
      <c r="G12" s="20">
        <v>50</v>
      </c>
      <c r="H12" s="21">
        <v>15</v>
      </c>
      <c r="I12" s="22" t="s">
        <v>29</v>
      </c>
      <c r="J12" s="23" t="s">
        <v>0</v>
      </c>
      <c r="K12" s="24" t="s">
        <v>0</v>
      </c>
      <c r="L12" s="22">
        <v>200</v>
      </c>
      <c r="M12" s="25">
        <v>300</v>
      </c>
      <c r="N12" s="25">
        <v>400</v>
      </c>
      <c r="O12" s="25"/>
      <c r="P12" s="25"/>
      <c r="Q12" s="25"/>
      <c r="R12" s="26">
        <v>900</v>
      </c>
      <c r="S12" s="24">
        <v>4</v>
      </c>
      <c r="T12" s="26">
        <v>4</v>
      </c>
      <c r="U12" s="25">
        <v>240</v>
      </c>
      <c r="V12" s="25">
        <v>240</v>
      </c>
      <c r="W12" s="25">
        <v>240</v>
      </c>
      <c r="X12" s="25"/>
      <c r="Y12" s="25"/>
      <c r="Z12" s="26"/>
      <c r="AA12" s="25">
        <v>200</v>
      </c>
      <c r="AB12" s="25">
        <v>200</v>
      </c>
      <c r="AC12" s="25">
        <v>300</v>
      </c>
      <c r="AD12" s="25"/>
      <c r="AE12" s="25"/>
      <c r="AF12" s="25"/>
      <c r="AG12" s="26">
        <v>900</v>
      </c>
    </row>
    <row r="13" spans="1:33" ht="15.75" customHeight="1">
      <c r="A13" s="27">
        <v>0.9</v>
      </c>
      <c r="B13" s="17">
        <v>78</v>
      </c>
      <c r="C13" s="18">
        <v>75</v>
      </c>
      <c r="D13" s="19">
        <f>ROUND(D$11+((D$17-D$11)*((A13-A$11)/(A$17-A$11))),2)</f>
        <v>2.87</v>
      </c>
      <c r="E13" s="20">
        <v>50</v>
      </c>
      <c r="F13" s="21">
        <v>15</v>
      </c>
      <c r="G13" s="20">
        <v>50</v>
      </c>
      <c r="H13" s="21">
        <v>15</v>
      </c>
      <c r="I13" s="22" t="s">
        <v>29</v>
      </c>
      <c r="J13" s="23" t="s">
        <v>0</v>
      </c>
      <c r="K13" s="24" t="s">
        <v>0</v>
      </c>
      <c r="L13" s="22">
        <v>200</v>
      </c>
      <c r="M13" s="25">
        <v>300</v>
      </c>
      <c r="N13" s="25">
        <v>400</v>
      </c>
      <c r="O13" s="25"/>
      <c r="P13" s="25"/>
      <c r="Q13" s="25"/>
      <c r="R13" s="26">
        <v>900</v>
      </c>
      <c r="S13" s="24">
        <v>4</v>
      </c>
      <c r="T13" s="26">
        <v>4</v>
      </c>
      <c r="U13" s="25">
        <v>240</v>
      </c>
      <c r="V13" s="25">
        <v>240</v>
      </c>
      <c r="W13" s="25">
        <v>240</v>
      </c>
      <c r="X13" s="25"/>
      <c r="Y13" s="25"/>
      <c r="Z13" s="26"/>
      <c r="AA13" s="25">
        <v>200</v>
      </c>
      <c r="AB13" s="25">
        <v>200</v>
      </c>
      <c r="AC13" s="25">
        <v>300</v>
      </c>
      <c r="AD13" s="25"/>
      <c r="AE13" s="25"/>
      <c r="AF13" s="25"/>
      <c r="AG13" s="26">
        <v>900</v>
      </c>
    </row>
    <row r="14" spans="1:33" ht="15.75" customHeight="1">
      <c r="A14" s="27">
        <v>1.1000000000000001</v>
      </c>
      <c r="B14" s="17">
        <v>78</v>
      </c>
      <c r="C14" s="18">
        <v>75</v>
      </c>
      <c r="D14" s="19">
        <f>ROUND(D$11+((D$17-D$11)*((A14-A$11)/(A$17-A$11))),2)</f>
        <v>3.31</v>
      </c>
      <c r="E14" s="20">
        <v>50</v>
      </c>
      <c r="F14" s="21">
        <v>15</v>
      </c>
      <c r="G14" s="20">
        <v>50</v>
      </c>
      <c r="H14" s="21">
        <v>15</v>
      </c>
      <c r="I14" s="22" t="s">
        <v>29</v>
      </c>
      <c r="J14" s="23" t="s">
        <v>0</v>
      </c>
      <c r="K14" s="24" t="s">
        <v>0</v>
      </c>
      <c r="L14" s="22">
        <v>200</v>
      </c>
      <c r="M14" s="25">
        <v>300</v>
      </c>
      <c r="N14" s="25">
        <v>400</v>
      </c>
      <c r="O14" s="25"/>
      <c r="P14" s="25"/>
      <c r="Q14" s="25"/>
      <c r="R14" s="26">
        <v>900</v>
      </c>
      <c r="S14" s="24">
        <v>4</v>
      </c>
      <c r="T14" s="26">
        <v>4</v>
      </c>
      <c r="U14" s="25">
        <v>240</v>
      </c>
      <c r="V14" s="25">
        <v>240</v>
      </c>
      <c r="W14" s="25">
        <v>240</v>
      </c>
      <c r="X14" s="25"/>
      <c r="Y14" s="25"/>
      <c r="Z14" s="26"/>
      <c r="AA14" s="25">
        <v>200</v>
      </c>
      <c r="AB14" s="25">
        <v>200</v>
      </c>
      <c r="AC14" s="25">
        <v>300</v>
      </c>
      <c r="AD14" s="25"/>
      <c r="AE14" s="25"/>
      <c r="AF14" s="25"/>
      <c r="AG14" s="26">
        <v>900</v>
      </c>
    </row>
    <row r="15" spans="1:33" ht="15.75" customHeight="1">
      <c r="A15" s="27">
        <v>1.1499999999999999</v>
      </c>
      <c r="B15" s="17">
        <v>78</v>
      </c>
      <c r="C15" s="18">
        <v>75</v>
      </c>
      <c r="D15" s="19">
        <f>ROUND(D$11+((D$17-D$11)*((A15-A$11)/(A$17-A$11))),2)</f>
        <v>3.43</v>
      </c>
      <c r="E15" s="20">
        <v>50</v>
      </c>
      <c r="F15" s="21">
        <v>15</v>
      </c>
      <c r="G15" s="20">
        <v>50</v>
      </c>
      <c r="H15" s="21">
        <v>15</v>
      </c>
      <c r="I15" s="22" t="s">
        <v>0</v>
      </c>
      <c r="J15" s="23" t="s">
        <v>0</v>
      </c>
      <c r="K15" s="24" t="s">
        <v>0</v>
      </c>
      <c r="L15" s="22">
        <v>200</v>
      </c>
      <c r="M15" s="25">
        <v>300</v>
      </c>
      <c r="N15" s="25">
        <v>400</v>
      </c>
      <c r="O15" s="25"/>
      <c r="P15" s="25"/>
      <c r="Q15" s="25"/>
      <c r="R15" s="26">
        <v>900</v>
      </c>
      <c r="S15" s="24">
        <v>4</v>
      </c>
      <c r="T15" s="26">
        <v>4</v>
      </c>
      <c r="U15" s="25">
        <v>240</v>
      </c>
      <c r="V15" s="25">
        <v>240</v>
      </c>
      <c r="W15" s="25">
        <v>240</v>
      </c>
      <c r="X15" s="25"/>
      <c r="Y15" s="25"/>
      <c r="Z15" s="26"/>
      <c r="AA15" s="25">
        <v>200</v>
      </c>
      <c r="AB15" s="25">
        <v>200</v>
      </c>
      <c r="AC15" s="25">
        <v>300</v>
      </c>
      <c r="AD15" s="25"/>
      <c r="AE15" s="25"/>
      <c r="AF15" s="25"/>
      <c r="AG15" s="26">
        <v>900</v>
      </c>
    </row>
    <row r="16" spans="1:33" ht="15.75" customHeight="1">
      <c r="A16" s="27">
        <v>1.3</v>
      </c>
      <c r="B16" s="17">
        <v>78</v>
      </c>
      <c r="C16" s="18">
        <v>75</v>
      </c>
      <c r="D16" s="19">
        <f>ROUND(D$11+((D$17-D$11)*((A16-A$11)/(A$17-A$11))),2)</f>
        <v>3.76</v>
      </c>
      <c r="E16" s="20">
        <v>50</v>
      </c>
      <c r="F16" s="21">
        <v>15</v>
      </c>
      <c r="G16" s="20">
        <v>50</v>
      </c>
      <c r="H16" s="21">
        <v>15</v>
      </c>
      <c r="I16" s="22" t="s">
        <v>0</v>
      </c>
      <c r="J16" s="23" t="s">
        <v>0</v>
      </c>
      <c r="K16" s="24" t="s">
        <v>0</v>
      </c>
      <c r="L16" s="22">
        <v>200</v>
      </c>
      <c r="M16" s="25">
        <v>300</v>
      </c>
      <c r="N16" s="25">
        <v>400</v>
      </c>
      <c r="O16" s="25"/>
      <c r="P16" s="25"/>
      <c r="Q16" s="25"/>
      <c r="R16" s="26">
        <v>900</v>
      </c>
      <c r="S16" s="24">
        <v>4</v>
      </c>
      <c r="T16" s="26">
        <v>4</v>
      </c>
      <c r="U16" s="25">
        <v>240</v>
      </c>
      <c r="V16" s="25">
        <v>240</v>
      </c>
      <c r="W16" s="25">
        <v>240</v>
      </c>
      <c r="X16" s="25"/>
      <c r="Y16" s="25"/>
      <c r="Z16" s="26"/>
      <c r="AA16" s="25">
        <v>200</v>
      </c>
      <c r="AB16" s="25">
        <v>200</v>
      </c>
      <c r="AC16" s="25">
        <v>300</v>
      </c>
      <c r="AD16" s="25"/>
      <c r="AE16" s="25"/>
      <c r="AF16" s="25"/>
      <c r="AG16" s="26">
        <v>900</v>
      </c>
    </row>
    <row r="17" spans="1:33" ht="17.100000000000001" customHeight="1">
      <c r="A17" s="27">
        <v>1.5</v>
      </c>
      <c r="B17" s="17">
        <v>78</v>
      </c>
      <c r="C17" s="18">
        <v>75</v>
      </c>
      <c r="D17" s="19">
        <v>4.21</v>
      </c>
      <c r="E17" s="20">
        <v>50</v>
      </c>
      <c r="F17" s="21">
        <v>15</v>
      </c>
      <c r="G17" s="20">
        <v>50</v>
      </c>
      <c r="H17" s="21">
        <v>15</v>
      </c>
      <c r="I17" s="22" t="s">
        <v>29</v>
      </c>
      <c r="J17" s="23" t="s">
        <v>30</v>
      </c>
      <c r="K17" s="24">
        <v>10</v>
      </c>
      <c r="L17" s="22">
        <v>200</v>
      </c>
      <c r="M17" s="25">
        <v>300</v>
      </c>
      <c r="N17" s="25">
        <v>400</v>
      </c>
      <c r="O17" s="25"/>
      <c r="P17" s="25"/>
      <c r="Q17" s="25"/>
      <c r="R17" s="26">
        <v>900</v>
      </c>
      <c r="S17" s="24">
        <v>4</v>
      </c>
      <c r="T17" s="26">
        <v>4</v>
      </c>
      <c r="U17" s="25">
        <v>240</v>
      </c>
      <c r="V17" s="25">
        <v>240</v>
      </c>
      <c r="W17" s="25">
        <v>240</v>
      </c>
      <c r="X17" s="25"/>
      <c r="Y17" s="25"/>
      <c r="Z17" s="26"/>
      <c r="AA17" s="25">
        <v>200</v>
      </c>
      <c r="AB17" s="25">
        <v>200</v>
      </c>
      <c r="AC17" s="25">
        <v>300</v>
      </c>
      <c r="AD17" s="25"/>
      <c r="AE17" s="25"/>
      <c r="AF17" s="25"/>
      <c r="AG17" s="26">
        <v>900</v>
      </c>
    </row>
    <row r="18" spans="1:33" ht="17.100000000000001" customHeight="1">
      <c r="A18" s="27">
        <v>1.55</v>
      </c>
      <c r="B18" s="17">
        <v>81</v>
      </c>
      <c r="C18" s="18">
        <v>77</v>
      </c>
      <c r="D18" s="19">
        <f>ROUND(D$17+((D$23-D$17)*((A18-A$17)/(A$23-A$17))),2)</f>
        <v>4.33</v>
      </c>
      <c r="E18" s="20">
        <v>50</v>
      </c>
      <c r="F18" s="21">
        <v>15</v>
      </c>
      <c r="G18" s="20">
        <v>50</v>
      </c>
      <c r="H18" s="21">
        <v>15</v>
      </c>
      <c r="I18" s="22" t="s">
        <v>0</v>
      </c>
      <c r="J18" s="23" t="s">
        <v>0</v>
      </c>
      <c r="K18" s="24" t="s">
        <v>0</v>
      </c>
      <c r="L18" s="22">
        <v>200</v>
      </c>
      <c r="M18" s="25">
        <v>300</v>
      </c>
      <c r="N18" s="25">
        <v>400</v>
      </c>
      <c r="O18" s="25"/>
      <c r="P18" s="25"/>
      <c r="Q18" s="25"/>
      <c r="R18" s="26">
        <v>900</v>
      </c>
      <c r="S18" s="24">
        <v>4</v>
      </c>
      <c r="T18" s="26">
        <v>4</v>
      </c>
      <c r="U18" s="25">
        <v>240</v>
      </c>
      <c r="V18" s="25">
        <v>240</v>
      </c>
      <c r="W18" s="25">
        <v>240</v>
      </c>
      <c r="X18" s="25"/>
      <c r="Y18" s="25"/>
      <c r="Z18" s="26"/>
      <c r="AA18" s="25">
        <v>200</v>
      </c>
      <c r="AB18" s="25">
        <v>200</v>
      </c>
      <c r="AC18" s="25">
        <v>300</v>
      </c>
      <c r="AD18" s="25"/>
      <c r="AE18" s="25"/>
      <c r="AF18" s="25"/>
      <c r="AG18" s="26">
        <v>900</v>
      </c>
    </row>
    <row r="19" spans="1:33" ht="17.100000000000001" customHeight="1">
      <c r="A19" s="27">
        <v>1.6</v>
      </c>
      <c r="B19" s="17">
        <v>81</v>
      </c>
      <c r="C19" s="18">
        <v>77</v>
      </c>
      <c r="D19" s="19">
        <f>ROUND(D$17+((D$23-D$17)*((A19-A$17)/(A$23-A$17))),2)</f>
        <v>4.4400000000000004</v>
      </c>
      <c r="E19" s="20">
        <v>50</v>
      </c>
      <c r="F19" s="21">
        <v>15</v>
      </c>
      <c r="G19" s="20">
        <v>50</v>
      </c>
      <c r="H19" s="21">
        <v>15</v>
      </c>
      <c r="I19" s="22" t="s">
        <v>0</v>
      </c>
      <c r="J19" s="23" t="s">
        <v>0</v>
      </c>
      <c r="K19" s="24" t="s">
        <v>0</v>
      </c>
      <c r="L19" s="22">
        <v>200</v>
      </c>
      <c r="M19" s="25">
        <v>300</v>
      </c>
      <c r="N19" s="25">
        <v>400</v>
      </c>
      <c r="O19" s="25"/>
      <c r="P19" s="25"/>
      <c r="Q19" s="25"/>
      <c r="R19" s="26">
        <v>900</v>
      </c>
      <c r="S19" s="24">
        <v>4</v>
      </c>
      <c r="T19" s="26">
        <v>4</v>
      </c>
      <c r="U19" s="25">
        <v>240</v>
      </c>
      <c r="V19" s="25">
        <v>240</v>
      </c>
      <c r="W19" s="25">
        <v>240</v>
      </c>
      <c r="X19" s="25"/>
      <c r="Y19" s="25"/>
      <c r="Z19" s="26"/>
      <c r="AA19" s="25">
        <v>200</v>
      </c>
      <c r="AB19" s="25">
        <v>200</v>
      </c>
      <c r="AC19" s="25">
        <v>300</v>
      </c>
      <c r="AD19" s="25"/>
      <c r="AE19" s="25"/>
      <c r="AF19" s="25"/>
      <c r="AG19" s="26">
        <v>900</v>
      </c>
    </row>
    <row r="20" spans="1:33" ht="17.100000000000001" customHeight="1">
      <c r="A20" s="27">
        <v>1.8</v>
      </c>
      <c r="B20" s="17">
        <v>81</v>
      </c>
      <c r="C20" s="18">
        <v>77</v>
      </c>
      <c r="D20" s="19">
        <f>ROUND(D$17+((D$23-D$17)*((A20-A$17)/(A$23-A$17))),2)</f>
        <v>4.91</v>
      </c>
      <c r="E20" s="20">
        <v>50</v>
      </c>
      <c r="F20" s="21">
        <v>15</v>
      </c>
      <c r="G20" s="20">
        <v>50</v>
      </c>
      <c r="H20" s="21">
        <v>15</v>
      </c>
      <c r="I20" s="22" t="s">
        <v>0</v>
      </c>
      <c r="J20" s="23" t="s">
        <v>0</v>
      </c>
      <c r="K20" s="24" t="s">
        <v>0</v>
      </c>
      <c r="L20" s="22">
        <v>200</v>
      </c>
      <c r="M20" s="25">
        <v>300</v>
      </c>
      <c r="N20" s="25">
        <v>400</v>
      </c>
      <c r="O20" s="25"/>
      <c r="P20" s="25"/>
      <c r="Q20" s="25"/>
      <c r="R20" s="26">
        <v>900</v>
      </c>
      <c r="S20" s="24">
        <v>4</v>
      </c>
      <c r="T20" s="26">
        <v>4</v>
      </c>
      <c r="U20" s="25">
        <v>240</v>
      </c>
      <c r="V20" s="25">
        <v>240</v>
      </c>
      <c r="W20" s="25">
        <v>240</v>
      </c>
      <c r="X20" s="25"/>
      <c r="Y20" s="25"/>
      <c r="Z20" s="26"/>
      <c r="AA20" s="25">
        <v>200</v>
      </c>
      <c r="AB20" s="25">
        <v>200</v>
      </c>
      <c r="AC20" s="25">
        <v>300</v>
      </c>
      <c r="AD20" s="25"/>
      <c r="AE20" s="25"/>
      <c r="AF20" s="25"/>
      <c r="AG20" s="26">
        <v>900</v>
      </c>
    </row>
    <row r="21" spans="1:33" ht="17.100000000000001" customHeight="1">
      <c r="A21" s="27">
        <v>1.9</v>
      </c>
      <c r="B21" s="17">
        <v>81</v>
      </c>
      <c r="C21" s="18">
        <v>77</v>
      </c>
      <c r="D21" s="19">
        <f>ROUND(D$17+((D$23-D$17)*((A21-A$17)/(A$23-A$17))),2)</f>
        <v>5.14</v>
      </c>
      <c r="E21" s="20">
        <v>50</v>
      </c>
      <c r="F21" s="21">
        <v>15</v>
      </c>
      <c r="G21" s="20">
        <v>50</v>
      </c>
      <c r="H21" s="21">
        <v>15</v>
      </c>
      <c r="I21" s="22" t="s">
        <v>0</v>
      </c>
      <c r="J21" s="23" t="s">
        <v>0</v>
      </c>
      <c r="K21" s="24" t="s">
        <v>0</v>
      </c>
      <c r="L21" s="22">
        <v>200</v>
      </c>
      <c r="M21" s="25">
        <v>300</v>
      </c>
      <c r="N21" s="25">
        <v>400</v>
      </c>
      <c r="O21" s="25"/>
      <c r="P21" s="25"/>
      <c r="Q21" s="25"/>
      <c r="R21" s="26">
        <v>900</v>
      </c>
      <c r="S21" s="24">
        <v>4</v>
      </c>
      <c r="T21" s="26">
        <v>4</v>
      </c>
      <c r="U21" s="25">
        <v>240</v>
      </c>
      <c r="V21" s="25">
        <v>240</v>
      </c>
      <c r="W21" s="25">
        <v>240</v>
      </c>
      <c r="X21" s="25"/>
      <c r="Y21" s="25"/>
      <c r="Z21" s="26"/>
      <c r="AA21" s="25">
        <v>200</v>
      </c>
      <c r="AB21" s="25">
        <v>200</v>
      </c>
      <c r="AC21" s="25">
        <v>300</v>
      </c>
      <c r="AD21" s="25"/>
      <c r="AE21" s="25"/>
      <c r="AF21" s="25"/>
      <c r="AG21" s="26">
        <v>900</v>
      </c>
    </row>
    <row r="22" spans="1:33" ht="17.100000000000001" customHeight="1">
      <c r="A22" s="27">
        <v>1.95</v>
      </c>
      <c r="B22" s="17">
        <v>81</v>
      </c>
      <c r="C22" s="18">
        <v>77</v>
      </c>
      <c r="D22" s="19">
        <f>ROUND(D$17+((D$23-D$17)*((A22-A$17)/(A$23-A$17))),2)</f>
        <v>5.26</v>
      </c>
      <c r="E22" s="20">
        <v>50</v>
      </c>
      <c r="F22" s="21">
        <v>15</v>
      </c>
      <c r="G22" s="20">
        <v>50</v>
      </c>
      <c r="H22" s="21">
        <v>15</v>
      </c>
      <c r="I22" s="22" t="s">
        <v>0</v>
      </c>
      <c r="J22" s="23" t="s">
        <v>0</v>
      </c>
      <c r="K22" s="24" t="s">
        <v>0</v>
      </c>
      <c r="L22" s="22">
        <v>200</v>
      </c>
      <c r="M22" s="25">
        <v>300</v>
      </c>
      <c r="N22" s="25">
        <v>400</v>
      </c>
      <c r="O22" s="25"/>
      <c r="P22" s="25"/>
      <c r="Q22" s="25"/>
      <c r="R22" s="26">
        <v>900</v>
      </c>
      <c r="S22" s="24">
        <v>4</v>
      </c>
      <c r="T22" s="26">
        <v>4</v>
      </c>
      <c r="U22" s="25">
        <v>240</v>
      </c>
      <c r="V22" s="25">
        <v>240</v>
      </c>
      <c r="W22" s="25">
        <v>240</v>
      </c>
      <c r="X22" s="25"/>
      <c r="Y22" s="25"/>
      <c r="Z22" s="26"/>
      <c r="AA22" s="25">
        <v>200</v>
      </c>
      <c r="AB22" s="25">
        <v>200</v>
      </c>
      <c r="AC22" s="25">
        <v>300</v>
      </c>
      <c r="AD22" s="25"/>
      <c r="AE22" s="25"/>
      <c r="AF22" s="25"/>
      <c r="AG22" s="26">
        <v>900</v>
      </c>
    </row>
    <row r="23" spans="1:33" ht="17.100000000000001" customHeight="1">
      <c r="A23" s="27">
        <v>2.2000000000000002</v>
      </c>
      <c r="B23" s="17">
        <v>81</v>
      </c>
      <c r="C23" s="18">
        <v>77</v>
      </c>
      <c r="D23" s="19">
        <v>5.84</v>
      </c>
      <c r="E23" s="20">
        <v>50</v>
      </c>
      <c r="F23" s="21">
        <v>15</v>
      </c>
      <c r="G23" s="20">
        <v>50</v>
      </c>
      <c r="H23" s="21">
        <v>15</v>
      </c>
      <c r="I23" s="22" t="s">
        <v>29</v>
      </c>
      <c r="J23" s="23" t="s">
        <v>24</v>
      </c>
      <c r="K23" s="24">
        <v>15</v>
      </c>
      <c r="L23" s="22">
        <v>200</v>
      </c>
      <c r="M23" s="25">
        <v>300</v>
      </c>
      <c r="N23" s="25">
        <v>400</v>
      </c>
      <c r="O23" s="25"/>
      <c r="P23" s="25"/>
      <c r="Q23" s="25"/>
      <c r="R23" s="26"/>
      <c r="S23" s="24">
        <v>4</v>
      </c>
      <c r="T23" s="26">
        <v>4</v>
      </c>
      <c r="U23" s="25">
        <v>240</v>
      </c>
      <c r="V23" s="25">
        <v>240</v>
      </c>
      <c r="W23" s="25">
        <v>240</v>
      </c>
      <c r="X23" s="25"/>
      <c r="Y23" s="25"/>
      <c r="Z23" s="26"/>
      <c r="AA23" s="25">
        <v>200</v>
      </c>
      <c r="AB23" s="25">
        <v>200</v>
      </c>
      <c r="AC23" s="25">
        <v>300</v>
      </c>
      <c r="AD23" s="25"/>
      <c r="AE23" s="25"/>
      <c r="AF23" s="25"/>
      <c r="AG23" s="26"/>
    </row>
    <row r="24" spans="1:33" ht="17.100000000000001" customHeight="1">
      <c r="A24" s="27">
        <v>2.25</v>
      </c>
      <c r="B24" s="17">
        <v>83</v>
      </c>
      <c r="C24" s="18">
        <v>78</v>
      </c>
      <c r="D24" s="19">
        <f t="shared" ref="D24:D37" si="0">ROUND(D$23+((D$38-D$23)*((A24-A$23)/(A$38-A$23))),2)</f>
        <v>5.95</v>
      </c>
      <c r="E24" s="20">
        <v>50</v>
      </c>
      <c r="F24" s="21">
        <v>15</v>
      </c>
      <c r="G24" s="20">
        <v>50</v>
      </c>
      <c r="H24" s="21">
        <v>15</v>
      </c>
      <c r="I24" s="22" t="s">
        <v>0</v>
      </c>
      <c r="J24" s="23" t="s">
        <v>0</v>
      </c>
      <c r="K24" s="24" t="s">
        <v>0</v>
      </c>
      <c r="L24" s="22">
        <v>200</v>
      </c>
      <c r="M24" s="25">
        <v>300</v>
      </c>
      <c r="N24" s="25">
        <v>400</v>
      </c>
      <c r="O24" s="25"/>
      <c r="P24" s="25"/>
      <c r="Q24" s="25"/>
      <c r="R24" s="26">
        <v>900</v>
      </c>
      <c r="S24" s="24">
        <v>4</v>
      </c>
      <c r="T24" s="26">
        <v>4</v>
      </c>
      <c r="U24" s="25">
        <v>240</v>
      </c>
      <c r="V24" s="25">
        <v>240</v>
      </c>
      <c r="W24" s="25">
        <v>240</v>
      </c>
      <c r="X24" s="25"/>
      <c r="Y24" s="25"/>
      <c r="Z24" s="26"/>
      <c r="AA24" s="25">
        <v>200</v>
      </c>
      <c r="AB24" s="25">
        <v>200</v>
      </c>
      <c r="AC24" s="25">
        <v>300</v>
      </c>
      <c r="AD24" s="25"/>
      <c r="AE24" s="25"/>
      <c r="AF24" s="25"/>
      <c r="AG24" s="26">
        <v>900</v>
      </c>
    </row>
    <row r="25" spans="1:33" ht="17.100000000000001" customHeight="1">
      <c r="A25" s="27">
        <v>2.2999999999999998</v>
      </c>
      <c r="B25" s="17">
        <v>83</v>
      </c>
      <c r="C25" s="18">
        <v>78</v>
      </c>
      <c r="D25" s="19">
        <f t="shared" si="0"/>
        <v>6.06</v>
      </c>
      <c r="E25" s="20">
        <v>50</v>
      </c>
      <c r="F25" s="21">
        <v>15</v>
      </c>
      <c r="G25" s="20">
        <v>50</v>
      </c>
      <c r="H25" s="21">
        <v>15</v>
      </c>
      <c r="I25" s="22" t="s">
        <v>0</v>
      </c>
      <c r="J25" s="23" t="s">
        <v>0</v>
      </c>
      <c r="K25" s="24" t="s">
        <v>0</v>
      </c>
      <c r="L25" s="22">
        <v>200</v>
      </c>
      <c r="M25" s="25">
        <v>300</v>
      </c>
      <c r="N25" s="25">
        <v>400</v>
      </c>
      <c r="O25" s="25"/>
      <c r="P25" s="25"/>
      <c r="Q25" s="25"/>
      <c r="R25" s="26">
        <v>900</v>
      </c>
      <c r="S25" s="24">
        <v>4</v>
      </c>
      <c r="T25" s="26">
        <v>4</v>
      </c>
      <c r="U25" s="25">
        <v>240</v>
      </c>
      <c r="V25" s="25">
        <v>240</v>
      </c>
      <c r="W25" s="25">
        <v>240</v>
      </c>
      <c r="X25" s="25"/>
      <c r="Y25" s="25"/>
      <c r="Z25" s="26"/>
      <c r="AA25" s="25">
        <v>200</v>
      </c>
      <c r="AB25" s="25">
        <v>200</v>
      </c>
      <c r="AC25" s="25">
        <v>300</v>
      </c>
      <c r="AD25" s="25"/>
      <c r="AE25" s="25"/>
      <c r="AF25" s="25"/>
      <c r="AG25" s="26">
        <v>900</v>
      </c>
    </row>
    <row r="26" spans="1:33" ht="17.100000000000001" customHeight="1">
      <c r="A26" s="27">
        <v>2.5</v>
      </c>
      <c r="B26" s="17">
        <v>83</v>
      </c>
      <c r="C26" s="18">
        <v>78</v>
      </c>
      <c r="D26" s="19">
        <f t="shared" si="0"/>
        <v>6.5</v>
      </c>
      <c r="E26" s="20">
        <v>50</v>
      </c>
      <c r="F26" s="21">
        <v>15</v>
      </c>
      <c r="G26" s="20">
        <v>50</v>
      </c>
      <c r="H26" s="21">
        <v>15</v>
      </c>
      <c r="I26" s="22" t="s">
        <v>0</v>
      </c>
      <c r="J26" s="23" t="s">
        <v>0</v>
      </c>
      <c r="K26" s="24" t="s">
        <v>0</v>
      </c>
      <c r="L26" s="22">
        <v>200</v>
      </c>
      <c r="M26" s="25">
        <v>300</v>
      </c>
      <c r="N26" s="25">
        <v>400</v>
      </c>
      <c r="O26" s="25"/>
      <c r="P26" s="25"/>
      <c r="Q26" s="25"/>
      <c r="R26" s="26">
        <v>900</v>
      </c>
      <c r="S26" s="24">
        <v>4</v>
      </c>
      <c r="T26" s="26">
        <v>4</v>
      </c>
      <c r="U26" s="25">
        <v>240</v>
      </c>
      <c r="V26" s="25">
        <v>240</v>
      </c>
      <c r="W26" s="25">
        <v>240</v>
      </c>
      <c r="X26" s="25"/>
      <c r="Y26" s="25"/>
      <c r="Z26" s="26"/>
      <c r="AA26" s="25">
        <v>200</v>
      </c>
      <c r="AB26" s="25">
        <v>200</v>
      </c>
      <c r="AC26" s="25">
        <v>300</v>
      </c>
      <c r="AD26" s="25"/>
      <c r="AE26" s="25"/>
      <c r="AF26" s="25"/>
      <c r="AG26" s="26">
        <v>900</v>
      </c>
    </row>
    <row r="27" spans="1:33" ht="17.100000000000001" customHeight="1">
      <c r="A27" s="27">
        <v>2.6</v>
      </c>
      <c r="B27" s="17">
        <v>83</v>
      </c>
      <c r="C27" s="18">
        <v>78</v>
      </c>
      <c r="D27" s="19">
        <f t="shared" si="0"/>
        <v>6.73</v>
      </c>
      <c r="E27" s="20">
        <v>50</v>
      </c>
      <c r="F27" s="21">
        <v>20</v>
      </c>
      <c r="G27" s="20">
        <v>50</v>
      </c>
      <c r="H27" s="21">
        <v>15</v>
      </c>
      <c r="I27" s="22" t="s">
        <v>0</v>
      </c>
      <c r="J27" s="23" t="s">
        <v>0</v>
      </c>
      <c r="K27" s="24" t="s">
        <v>0</v>
      </c>
      <c r="L27" s="22">
        <v>200</v>
      </c>
      <c r="M27" s="25">
        <v>300</v>
      </c>
      <c r="N27" s="25">
        <v>400</v>
      </c>
      <c r="O27" s="25"/>
      <c r="P27" s="25"/>
      <c r="Q27" s="25"/>
      <c r="R27" s="26">
        <v>900</v>
      </c>
      <c r="S27" s="24">
        <v>4</v>
      </c>
      <c r="T27" s="26">
        <v>4</v>
      </c>
      <c r="U27" s="25">
        <v>240</v>
      </c>
      <c r="V27" s="25">
        <v>240</v>
      </c>
      <c r="W27" s="25">
        <v>240</v>
      </c>
      <c r="X27" s="25"/>
      <c r="Y27" s="25"/>
      <c r="Z27" s="26"/>
      <c r="AA27" s="25">
        <v>200</v>
      </c>
      <c r="AB27" s="25">
        <v>200</v>
      </c>
      <c r="AC27" s="25">
        <v>300</v>
      </c>
      <c r="AD27" s="25"/>
      <c r="AE27" s="25"/>
      <c r="AF27" s="25"/>
      <c r="AG27" s="26">
        <v>900</v>
      </c>
    </row>
    <row r="28" spans="1:33" ht="17.100000000000001" customHeight="1">
      <c r="A28" s="27">
        <v>2.65</v>
      </c>
      <c r="B28" s="17">
        <v>83</v>
      </c>
      <c r="C28" s="18">
        <v>78</v>
      </c>
      <c r="D28" s="19">
        <f t="shared" si="0"/>
        <v>6.84</v>
      </c>
      <c r="E28" s="20">
        <v>50</v>
      </c>
      <c r="F28" s="21">
        <v>20</v>
      </c>
      <c r="G28" s="20">
        <v>50</v>
      </c>
      <c r="H28" s="21">
        <v>15</v>
      </c>
      <c r="I28" s="22" t="s">
        <v>0</v>
      </c>
      <c r="J28" s="23" t="s">
        <v>0</v>
      </c>
      <c r="K28" s="24" t="s">
        <v>0</v>
      </c>
      <c r="L28" s="22">
        <v>200</v>
      </c>
      <c r="M28" s="25">
        <v>300</v>
      </c>
      <c r="N28" s="25">
        <v>400</v>
      </c>
      <c r="O28" s="25"/>
      <c r="P28" s="25"/>
      <c r="Q28" s="25"/>
      <c r="R28" s="26">
        <v>900</v>
      </c>
      <c r="S28" s="24">
        <v>4</v>
      </c>
      <c r="T28" s="26">
        <v>4</v>
      </c>
      <c r="U28" s="25">
        <v>240</v>
      </c>
      <c r="V28" s="25">
        <v>240</v>
      </c>
      <c r="W28" s="25">
        <v>240</v>
      </c>
      <c r="X28" s="25"/>
      <c r="Y28" s="25"/>
      <c r="Z28" s="26"/>
      <c r="AA28" s="25">
        <v>200</v>
      </c>
      <c r="AB28" s="25">
        <v>200</v>
      </c>
      <c r="AC28" s="25">
        <v>300</v>
      </c>
      <c r="AD28" s="25"/>
      <c r="AE28" s="25"/>
      <c r="AF28" s="25"/>
      <c r="AG28" s="26">
        <v>900</v>
      </c>
    </row>
    <row r="29" spans="1:33" ht="17.100000000000001" customHeight="1">
      <c r="A29" s="27">
        <v>2.7</v>
      </c>
      <c r="B29" s="17">
        <v>83</v>
      </c>
      <c r="C29" s="18">
        <v>78</v>
      </c>
      <c r="D29" s="19">
        <f t="shared" si="0"/>
        <v>6.95</v>
      </c>
      <c r="E29" s="20">
        <v>50</v>
      </c>
      <c r="F29" s="21">
        <v>20</v>
      </c>
      <c r="G29" s="20">
        <v>50</v>
      </c>
      <c r="H29" s="21">
        <v>15</v>
      </c>
      <c r="I29" s="22" t="s">
        <v>0</v>
      </c>
      <c r="J29" s="23" t="s">
        <v>0</v>
      </c>
      <c r="K29" s="24" t="s">
        <v>0</v>
      </c>
      <c r="L29" s="22">
        <v>200</v>
      </c>
      <c r="M29" s="25">
        <v>300</v>
      </c>
      <c r="N29" s="25">
        <v>400</v>
      </c>
      <c r="O29" s="25"/>
      <c r="P29" s="25"/>
      <c r="Q29" s="25"/>
      <c r="R29" s="26">
        <v>900</v>
      </c>
      <c r="S29" s="24">
        <v>4</v>
      </c>
      <c r="T29" s="26">
        <v>4</v>
      </c>
      <c r="U29" s="25">
        <v>240</v>
      </c>
      <c r="V29" s="25">
        <v>240</v>
      </c>
      <c r="W29" s="25">
        <v>240</v>
      </c>
      <c r="X29" s="25"/>
      <c r="Y29" s="25"/>
      <c r="Z29" s="26"/>
      <c r="AA29" s="25">
        <v>200</v>
      </c>
      <c r="AB29" s="25">
        <v>200</v>
      </c>
      <c r="AC29" s="25">
        <v>300</v>
      </c>
      <c r="AD29" s="25"/>
      <c r="AE29" s="25"/>
      <c r="AF29" s="25"/>
      <c r="AG29" s="26">
        <v>900</v>
      </c>
    </row>
    <row r="30" spans="1:33" ht="17.100000000000001" customHeight="1">
      <c r="A30" s="27">
        <v>2.8</v>
      </c>
      <c r="B30" s="17">
        <v>83</v>
      </c>
      <c r="C30" s="18">
        <v>78</v>
      </c>
      <c r="D30" s="19">
        <f t="shared" si="0"/>
        <v>7.17</v>
      </c>
      <c r="E30" s="20">
        <v>50</v>
      </c>
      <c r="F30" s="21">
        <v>20</v>
      </c>
      <c r="G30" s="20">
        <v>50</v>
      </c>
      <c r="H30" s="21">
        <v>15</v>
      </c>
      <c r="I30" s="22" t="s">
        <v>0</v>
      </c>
      <c r="J30" s="23" t="s">
        <v>0</v>
      </c>
      <c r="K30" s="24" t="s">
        <v>0</v>
      </c>
      <c r="L30" s="22">
        <v>200</v>
      </c>
      <c r="M30" s="25">
        <v>300</v>
      </c>
      <c r="N30" s="25">
        <v>400</v>
      </c>
      <c r="O30" s="25"/>
      <c r="P30" s="25"/>
      <c r="Q30" s="25"/>
      <c r="R30" s="26">
        <v>900</v>
      </c>
      <c r="S30" s="24">
        <v>4</v>
      </c>
      <c r="T30" s="26">
        <v>4</v>
      </c>
      <c r="U30" s="25">
        <v>240</v>
      </c>
      <c r="V30" s="25">
        <v>240</v>
      </c>
      <c r="W30" s="25">
        <v>240</v>
      </c>
      <c r="X30" s="25"/>
      <c r="Y30" s="25"/>
      <c r="Z30" s="26"/>
      <c r="AA30" s="25">
        <v>200</v>
      </c>
      <c r="AB30" s="25">
        <v>200</v>
      </c>
      <c r="AC30" s="25">
        <v>300</v>
      </c>
      <c r="AD30" s="25"/>
      <c r="AE30" s="25"/>
      <c r="AF30" s="25"/>
      <c r="AG30" s="26">
        <v>900</v>
      </c>
    </row>
    <row r="31" spans="1:33" ht="17.100000000000001" customHeight="1">
      <c r="A31" s="27">
        <v>2.9</v>
      </c>
      <c r="B31" s="17">
        <v>83</v>
      </c>
      <c r="C31" s="18">
        <v>78</v>
      </c>
      <c r="D31" s="19">
        <f t="shared" si="0"/>
        <v>7.39</v>
      </c>
      <c r="E31" s="20">
        <v>50</v>
      </c>
      <c r="F31" s="21">
        <v>20</v>
      </c>
      <c r="G31" s="20">
        <v>50</v>
      </c>
      <c r="H31" s="21">
        <v>15</v>
      </c>
      <c r="I31" s="22" t="s">
        <v>0</v>
      </c>
      <c r="J31" s="23" t="s">
        <v>0</v>
      </c>
      <c r="K31" s="24" t="s">
        <v>0</v>
      </c>
      <c r="L31" s="22">
        <v>200</v>
      </c>
      <c r="M31" s="25">
        <v>300</v>
      </c>
      <c r="N31" s="25">
        <v>400</v>
      </c>
      <c r="O31" s="25"/>
      <c r="P31" s="25"/>
      <c r="Q31" s="25"/>
      <c r="R31" s="26">
        <v>900</v>
      </c>
      <c r="S31" s="24">
        <v>4</v>
      </c>
      <c r="T31" s="26">
        <v>4</v>
      </c>
      <c r="U31" s="25">
        <v>240</v>
      </c>
      <c r="V31" s="25">
        <v>240</v>
      </c>
      <c r="W31" s="25">
        <v>240</v>
      </c>
      <c r="X31" s="25"/>
      <c r="Y31" s="25"/>
      <c r="Z31" s="26"/>
      <c r="AA31" s="25">
        <v>200</v>
      </c>
      <c r="AB31" s="25">
        <v>200</v>
      </c>
      <c r="AC31" s="25">
        <v>300</v>
      </c>
      <c r="AD31" s="25"/>
      <c r="AE31" s="25"/>
      <c r="AF31" s="25"/>
      <c r="AG31" s="26">
        <v>900</v>
      </c>
    </row>
    <row r="32" spans="1:33" ht="17.100000000000001" customHeight="1">
      <c r="A32" s="27">
        <v>2.95</v>
      </c>
      <c r="B32" s="17">
        <v>83</v>
      </c>
      <c r="C32" s="18">
        <v>78</v>
      </c>
      <c r="D32" s="19">
        <f t="shared" si="0"/>
        <v>7.5</v>
      </c>
      <c r="E32" s="20">
        <v>50</v>
      </c>
      <c r="F32" s="21">
        <v>20</v>
      </c>
      <c r="G32" s="20">
        <v>50</v>
      </c>
      <c r="H32" s="21">
        <v>15</v>
      </c>
      <c r="I32" s="22" t="s">
        <v>0</v>
      </c>
      <c r="J32" s="23" t="s">
        <v>0</v>
      </c>
      <c r="K32" s="24" t="s">
        <v>0</v>
      </c>
      <c r="L32" s="22">
        <v>200</v>
      </c>
      <c r="M32" s="25">
        <v>300</v>
      </c>
      <c r="N32" s="25">
        <v>400</v>
      </c>
      <c r="O32" s="25"/>
      <c r="P32" s="25"/>
      <c r="Q32" s="25"/>
      <c r="R32" s="26">
        <v>900</v>
      </c>
      <c r="S32" s="24">
        <v>4</v>
      </c>
      <c r="T32" s="26">
        <v>4</v>
      </c>
      <c r="U32" s="25">
        <v>240</v>
      </c>
      <c r="V32" s="25">
        <v>240</v>
      </c>
      <c r="W32" s="25">
        <v>240</v>
      </c>
      <c r="X32" s="25"/>
      <c r="Y32" s="25"/>
      <c r="Z32" s="26"/>
      <c r="AA32" s="25">
        <v>200</v>
      </c>
      <c r="AB32" s="25">
        <v>200</v>
      </c>
      <c r="AC32" s="25">
        <v>300</v>
      </c>
      <c r="AD32" s="25"/>
      <c r="AE32" s="25"/>
      <c r="AF32" s="25"/>
      <c r="AG32" s="26">
        <v>900</v>
      </c>
    </row>
    <row r="33" spans="1:33" ht="17.100000000000001" customHeight="1">
      <c r="A33" s="27">
        <v>3</v>
      </c>
      <c r="B33" s="17">
        <v>83</v>
      </c>
      <c r="C33" s="18">
        <v>78</v>
      </c>
      <c r="D33" s="19">
        <f t="shared" si="0"/>
        <v>7.61</v>
      </c>
      <c r="E33" s="20">
        <v>50</v>
      </c>
      <c r="F33" s="21">
        <v>20</v>
      </c>
      <c r="G33" s="20">
        <v>50</v>
      </c>
      <c r="H33" s="21">
        <v>15</v>
      </c>
      <c r="I33" s="22" t="s">
        <v>0</v>
      </c>
      <c r="J33" s="23" t="s">
        <v>0</v>
      </c>
      <c r="K33" s="24" t="s">
        <v>0</v>
      </c>
      <c r="L33" s="22">
        <v>200</v>
      </c>
      <c r="M33" s="25">
        <v>300</v>
      </c>
      <c r="N33" s="25">
        <v>400</v>
      </c>
      <c r="O33" s="25"/>
      <c r="P33" s="25"/>
      <c r="Q33" s="25"/>
      <c r="R33" s="26">
        <v>900</v>
      </c>
      <c r="S33" s="24">
        <v>4</v>
      </c>
      <c r="T33" s="26">
        <v>4</v>
      </c>
      <c r="U33" s="25">
        <v>240</v>
      </c>
      <c r="V33" s="25">
        <v>240</v>
      </c>
      <c r="W33" s="25">
        <v>240</v>
      </c>
      <c r="X33" s="25"/>
      <c r="Y33" s="25"/>
      <c r="Z33" s="26"/>
      <c r="AA33" s="25">
        <v>200</v>
      </c>
      <c r="AB33" s="25">
        <v>200</v>
      </c>
      <c r="AC33" s="25">
        <v>300</v>
      </c>
      <c r="AD33" s="25"/>
      <c r="AE33" s="25"/>
      <c r="AF33" s="25"/>
      <c r="AG33" s="26">
        <v>900</v>
      </c>
    </row>
    <row r="34" spans="1:33" ht="17.100000000000001" customHeight="1">
      <c r="A34" s="27">
        <v>3.25</v>
      </c>
      <c r="B34" s="17">
        <v>83</v>
      </c>
      <c r="C34" s="18">
        <v>78</v>
      </c>
      <c r="D34" s="19">
        <f t="shared" si="0"/>
        <v>8.16</v>
      </c>
      <c r="E34" s="20">
        <v>50</v>
      </c>
      <c r="F34" s="21">
        <v>20</v>
      </c>
      <c r="G34" s="20">
        <v>50</v>
      </c>
      <c r="H34" s="21">
        <v>15</v>
      </c>
      <c r="I34" s="22" t="s">
        <v>0</v>
      </c>
      <c r="J34" s="23" t="s">
        <v>0</v>
      </c>
      <c r="K34" s="24" t="s">
        <v>0</v>
      </c>
      <c r="L34" s="22">
        <v>200</v>
      </c>
      <c r="M34" s="25">
        <v>300</v>
      </c>
      <c r="N34" s="25">
        <v>400</v>
      </c>
      <c r="O34" s="25"/>
      <c r="P34" s="25"/>
      <c r="Q34" s="25"/>
      <c r="R34" s="26">
        <v>900</v>
      </c>
      <c r="S34" s="24">
        <v>4</v>
      </c>
      <c r="T34" s="26">
        <v>4</v>
      </c>
      <c r="U34" s="25">
        <v>240</v>
      </c>
      <c r="V34" s="25">
        <v>240</v>
      </c>
      <c r="W34" s="25">
        <v>240</v>
      </c>
      <c r="X34" s="25"/>
      <c r="Y34" s="25"/>
      <c r="Z34" s="26"/>
      <c r="AA34" s="25">
        <v>200</v>
      </c>
      <c r="AB34" s="25">
        <v>200</v>
      </c>
      <c r="AC34" s="25">
        <v>300</v>
      </c>
      <c r="AD34" s="25"/>
      <c r="AE34" s="25"/>
      <c r="AF34" s="25"/>
      <c r="AG34" s="26">
        <v>900</v>
      </c>
    </row>
    <row r="35" spans="1:33" ht="17.100000000000001" customHeight="1">
      <c r="A35" s="27">
        <v>3.3</v>
      </c>
      <c r="B35" s="17">
        <v>83</v>
      </c>
      <c r="C35" s="18">
        <v>78</v>
      </c>
      <c r="D35" s="19">
        <f t="shared" si="0"/>
        <v>8.27</v>
      </c>
      <c r="E35" s="20">
        <v>50</v>
      </c>
      <c r="F35" s="21">
        <v>20</v>
      </c>
      <c r="G35" s="20">
        <v>50</v>
      </c>
      <c r="H35" s="21">
        <v>15</v>
      </c>
      <c r="I35" s="22" t="s">
        <v>0</v>
      </c>
      <c r="J35" s="23" t="s">
        <v>0</v>
      </c>
      <c r="K35" s="24" t="s">
        <v>0</v>
      </c>
      <c r="L35" s="22">
        <v>200</v>
      </c>
      <c r="M35" s="25">
        <v>300</v>
      </c>
      <c r="N35" s="25">
        <v>400</v>
      </c>
      <c r="O35" s="25"/>
      <c r="P35" s="25"/>
      <c r="Q35" s="25"/>
      <c r="R35" s="26">
        <v>900</v>
      </c>
      <c r="S35" s="24">
        <v>4</v>
      </c>
      <c r="T35" s="26">
        <v>4</v>
      </c>
      <c r="U35" s="25">
        <v>240</v>
      </c>
      <c r="V35" s="25">
        <v>240</v>
      </c>
      <c r="W35" s="25">
        <v>240</v>
      </c>
      <c r="X35" s="25"/>
      <c r="Y35" s="25"/>
      <c r="Z35" s="26"/>
      <c r="AA35" s="25">
        <v>200</v>
      </c>
      <c r="AB35" s="25">
        <v>200</v>
      </c>
      <c r="AC35" s="25">
        <v>300</v>
      </c>
      <c r="AD35" s="25"/>
      <c r="AE35" s="25"/>
      <c r="AF35" s="25"/>
      <c r="AG35" s="26">
        <v>900</v>
      </c>
    </row>
    <row r="36" spans="1:33" ht="17.100000000000001" customHeight="1">
      <c r="A36" s="27">
        <v>3.44</v>
      </c>
      <c r="B36" s="17">
        <v>83</v>
      </c>
      <c r="C36" s="18">
        <v>78</v>
      </c>
      <c r="D36" s="19">
        <f t="shared" si="0"/>
        <v>8.58</v>
      </c>
      <c r="E36" s="20">
        <v>50</v>
      </c>
      <c r="F36" s="21">
        <v>20</v>
      </c>
      <c r="G36" s="20">
        <v>50</v>
      </c>
      <c r="H36" s="21">
        <v>15</v>
      </c>
      <c r="I36" s="22" t="s">
        <v>0</v>
      </c>
      <c r="J36" s="23" t="s">
        <v>0</v>
      </c>
      <c r="K36" s="24" t="s">
        <v>0</v>
      </c>
      <c r="L36" s="22">
        <v>200</v>
      </c>
      <c r="M36" s="25">
        <v>300</v>
      </c>
      <c r="N36" s="25">
        <v>400</v>
      </c>
      <c r="O36" s="25"/>
      <c r="P36" s="25"/>
      <c r="Q36" s="25"/>
      <c r="R36" s="26">
        <v>900</v>
      </c>
      <c r="S36" s="24">
        <v>4</v>
      </c>
      <c r="T36" s="26">
        <v>4</v>
      </c>
      <c r="U36" s="25">
        <v>240</v>
      </c>
      <c r="V36" s="25">
        <v>240</v>
      </c>
      <c r="W36" s="25">
        <v>240</v>
      </c>
      <c r="X36" s="25"/>
      <c r="Y36" s="25"/>
      <c r="Z36" s="26"/>
      <c r="AA36" s="25">
        <v>200</v>
      </c>
      <c r="AB36" s="25">
        <v>200</v>
      </c>
      <c r="AC36" s="25">
        <v>300</v>
      </c>
      <c r="AD36" s="25"/>
      <c r="AE36" s="25"/>
      <c r="AF36" s="25"/>
      <c r="AG36" s="26">
        <v>900</v>
      </c>
    </row>
    <row r="37" spans="1:33" ht="17.100000000000001" customHeight="1">
      <c r="A37" s="27">
        <v>3.5</v>
      </c>
      <c r="B37" s="17">
        <v>83</v>
      </c>
      <c r="C37" s="18">
        <v>78</v>
      </c>
      <c r="D37" s="19">
        <f t="shared" si="0"/>
        <v>8.7200000000000006</v>
      </c>
      <c r="E37" s="20">
        <v>50</v>
      </c>
      <c r="F37" s="21">
        <v>20</v>
      </c>
      <c r="G37" s="20">
        <v>50</v>
      </c>
      <c r="H37" s="21">
        <v>15</v>
      </c>
      <c r="I37" s="22" t="s">
        <v>0</v>
      </c>
      <c r="J37" s="23" t="s">
        <v>0</v>
      </c>
      <c r="K37" s="24" t="s">
        <v>0</v>
      </c>
      <c r="L37" s="22">
        <v>200</v>
      </c>
      <c r="M37" s="25">
        <v>300</v>
      </c>
      <c r="N37" s="25">
        <v>400</v>
      </c>
      <c r="O37" s="25"/>
      <c r="P37" s="25"/>
      <c r="Q37" s="25"/>
      <c r="R37" s="26">
        <v>900</v>
      </c>
      <c r="S37" s="24">
        <v>4</v>
      </c>
      <c r="T37" s="26">
        <v>4</v>
      </c>
      <c r="U37" s="25">
        <v>240</v>
      </c>
      <c r="V37" s="25">
        <v>240</v>
      </c>
      <c r="W37" s="25">
        <v>240</v>
      </c>
      <c r="X37" s="25"/>
      <c r="Y37" s="25"/>
      <c r="Z37" s="26"/>
      <c r="AA37" s="25">
        <v>200</v>
      </c>
      <c r="AB37" s="25">
        <v>200</v>
      </c>
      <c r="AC37" s="25">
        <v>300</v>
      </c>
      <c r="AD37" s="25"/>
      <c r="AE37" s="25"/>
      <c r="AF37" s="25"/>
      <c r="AG37" s="26">
        <v>900</v>
      </c>
    </row>
    <row r="38" spans="1:33" ht="17.100000000000001" customHeight="1">
      <c r="A38" s="27">
        <v>3.7</v>
      </c>
      <c r="B38" s="17">
        <v>83</v>
      </c>
      <c r="C38" s="18">
        <v>78</v>
      </c>
      <c r="D38" s="19">
        <v>9.16</v>
      </c>
      <c r="E38" s="20">
        <v>50</v>
      </c>
      <c r="F38" s="21">
        <v>30</v>
      </c>
      <c r="G38" s="20">
        <v>50</v>
      </c>
      <c r="H38" s="21">
        <v>20</v>
      </c>
      <c r="I38" s="22" t="s">
        <v>28</v>
      </c>
      <c r="J38" s="23" t="s">
        <v>24</v>
      </c>
      <c r="K38" s="24">
        <v>20</v>
      </c>
      <c r="L38" s="22">
        <v>200</v>
      </c>
      <c r="M38" s="25">
        <v>300</v>
      </c>
      <c r="N38" s="25">
        <v>400</v>
      </c>
      <c r="O38" s="25"/>
      <c r="P38" s="25"/>
      <c r="Q38" s="25"/>
      <c r="R38" s="26">
        <v>900</v>
      </c>
      <c r="S38" s="24">
        <v>4</v>
      </c>
      <c r="T38" s="26">
        <v>4</v>
      </c>
      <c r="U38" s="25">
        <v>240</v>
      </c>
      <c r="V38" s="25">
        <v>240</v>
      </c>
      <c r="W38" s="25">
        <v>240</v>
      </c>
      <c r="X38" s="25"/>
      <c r="Y38" s="25">
        <v>720</v>
      </c>
      <c r="Z38" s="26"/>
      <c r="AA38" s="25">
        <v>200</v>
      </c>
      <c r="AB38" s="25">
        <v>200</v>
      </c>
      <c r="AC38" s="25">
        <v>300</v>
      </c>
      <c r="AD38" s="25"/>
      <c r="AE38" s="25"/>
      <c r="AF38" s="25"/>
      <c r="AG38" s="26">
        <v>900</v>
      </c>
    </row>
    <row r="39" spans="1:33" ht="17.100000000000001" customHeight="1">
      <c r="A39" s="27">
        <v>3.75</v>
      </c>
      <c r="B39" s="17">
        <v>85</v>
      </c>
      <c r="C39" s="18">
        <v>77</v>
      </c>
      <c r="D39" s="19">
        <f t="shared" ref="D39:D45" si="1">ROUND(D$38+((D$46-D$38)*((A39-A$38)/(A$46-A$38))),2)</f>
        <v>9.2899999999999991</v>
      </c>
      <c r="E39" s="20">
        <v>50</v>
      </c>
      <c r="F39" s="21">
        <v>30</v>
      </c>
      <c r="G39" s="20">
        <v>50</v>
      </c>
      <c r="H39" s="21">
        <v>20</v>
      </c>
      <c r="I39" s="22" t="s">
        <v>0</v>
      </c>
      <c r="J39" s="23" t="s">
        <v>0</v>
      </c>
      <c r="K39" s="24" t="s">
        <v>0</v>
      </c>
      <c r="L39" s="22">
        <v>200</v>
      </c>
      <c r="M39" s="25">
        <v>300</v>
      </c>
      <c r="N39" s="25">
        <v>400</v>
      </c>
      <c r="O39" s="25"/>
      <c r="P39" s="25"/>
      <c r="Q39" s="25"/>
      <c r="R39" s="26">
        <v>900</v>
      </c>
      <c r="S39" s="24">
        <v>4</v>
      </c>
      <c r="T39" s="26">
        <v>4</v>
      </c>
      <c r="U39" s="25">
        <v>240</v>
      </c>
      <c r="V39" s="25">
        <v>240</v>
      </c>
      <c r="W39" s="25">
        <v>240</v>
      </c>
      <c r="X39" s="25"/>
      <c r="Y39" s="25">
        <v>720</v>
      </c>
      <c r="Z39" s="26"/>
      <c r="AA39" s="25">
        <v>200</v>
      </c>
      <c r="AB39" s="25">
        <v>200</v>
      </c>
      <c r="AC39" s="25">
        <v>300</v>
      </c>
      <c r="AD39" s="25"/>
      <c r="AE39" s="25"/>
      <c r="AF39" s="25"/>
      <c r="AG39" s="26">
        <v>900</v>
      </c>
    </row>
    <row r="40" spans="1:33" ht="17.100000000000001" customHeight="1">
      <c r="A40" s="27">
        <v>4.2</v>
      </c>
      <c r="B40" s="17">
        <v>85</v>
      </c>
      <c r="C40" s="18">
        <v>77</v>
      </c>
      <c r="D40" s="19">
        <f t="shared" si="1"/>
        <v>10.42</v>
      </c>
      <c r="E40" s="20">
        <v>50</v>
      </c>
      <c r="F40" s="21">
        <v>30</v>
      </c>
      <c r="G40" s="20">
        <v>50</v>
      </c>
      <c r="H40" s="21">
        <v>20</v>
      </c>
      <c r="I40" s="22" t="s">
        <v>0</v>
      </c>
      <c r="J40" s="23" t="s">
        <v>0</v>
      </c>
      <c r="K40" s="24" t="s">
        <v>0</v>
      </c>
      <c r="L40" s="22">
        <v>200</v>
      </c>
      <c r="M40" s="25">
        <v>300</v>
      </c>
      <c r="N40" s="25">
        <v>400</v>
      </c>
      <c r="O40" s="25"/>
      <c r="P40" s="25"/>
      <c r="Q40" s="25"/>
      <c r="R40" s="26">
        <v>900</v>
      </c>
      <c r="S40" s="24">
        <v>4</v>
      </c>
      <c r="T40" s="26">
        <v>4</v>
      </c>
      <c r="U40" s="25">
        <v>240</v>
      </c>
      <c r="V40" s="25">
        <v>240</v>
      </c>
      <c r="W40" s="25">
        <v>240</v>
      </c>
      <c r="X40" s="25"/>
      <c r="Y40" s="25">
        <v>720</v>
      </c>
      <c r="Z40" s="26"/>
      <c r="AA40" s="25">
        <v>200</v>
      </c>
      <c r="AB40" s="25">
        <v>200</v>
      </c>
      <c r="AC40" s="25">
        <v>300</v>
      </c>
      <c r="AD40" s="25"/>
      <c r="AE40" s="25"/>
      <c r="AF40" s="25"/>
      <c r="AG40" s="26">
        <v>900</v>
      </c>
    </row>
    <row r="41" spans="1:33" ht="17.100000000000001" customHeight="1">
      <c r="A41" s="27">
        <v>4.4000000000000004</v>
      </c>
      <c r="B41" s="17">
        <v>85</v>
      </c>
      <c r="C41" s="18">
        <v>77</v>
      </c>
      <c r="D41" s="19">
        <f t="shared" si="1"/>
        <v>10.92</v>
      </c>
      <c r="E41" s="20">
        <v>50</v>
      </c>
      <c r="F41" s="21">
        <v>30</v>
      </c>
      <c r="G41" s="20">
        <v>50</v>
      </c>
      <c r="H41" s="21">
        <v>20</v>
      </c>
      <c r="I41" s="22" t="s">
        <v>0</v>
      </c>
      <c r="J41" s="23" t="s">
        <v>0</v>
      </c>
      <c r="K41" s="24" t="s">
        <v>0</v>
      </c>
      <c r="L41" s="22">
        <v>200</v>
      </c>
      <c r="M41" s="25">
        <v>300</v>
      </c>
      <c r="N41" s="25">
        <v>400</v>
      </c>
      <c r="O41" s="25"/>
      <c r="P41" s="25"/>
      <c r="Q41" s="25"/>
      <c r="R41" s="26">
        <v>900</v>
      </c>
      <c r="S41" s="24">
        <v>4</v>
      </c>
      <c r="T41" s="26">
        <v>4</v>
      </c>
      <c r="U41" s="25">
        <v>240</v>
      </c>
      <c r="V41" s="25">
        <v>240</v>
      </c>
      <c r="W41" s="25">
        <v>240</v>
      </c>
      <c r="X41" s="25"/>
      <c r="Y41" s="25">
        <v>720</v>
      </c>
      <c r="Z41" s="26"/>
      <c r="AA41" s="25">
        <v>200</v>
      </c>
      <c r="AB41" s="25">
        <v>200</v>
      </c>
      <c r="AC41" s="25">
        <v>300</v>
      </c>
      <c r="AD41" s="25"/>
      <c r="AE41" s="25"/>
      <c r="AF41" s="25"/>
      <c r="AG41" s="26">
        <v>900</v>
      </c>
    </row>
    <row r="42" spans="1:33" ht="17.100000000000001" customHeight="1">
      <c r="A42" s="27">
        <v>4.45</v>
      </c>
      <c r="B42" s="17">
        <v>85</v>
      </c>
      <c r="C42" s="18">
        <v>77</v>
      </c>
      <c r="D42" s="19">
        <f t="shared" si="1"/>
        <v>11.04</v>
      </c>
      <c r="E42" s="20">
        <v>50</v>
      </c>
      <c r="F42" s="21">
        <v>30</v>
      </c>
      <c r="G42" s="20">
        <v>50</v>
      </c>
      <c r="H42" s="21">
        <v>20</v>
      </c>
      <c r="I42" s="22" t="s">
        <v>0</v>
      </c>
      <c r="J42" s="23" t="s">
        <v>0</v>
      </c>
      <c r="K42" s="24" t="s">
        <v>0</v>
      </c>
      <c r="L42" s="22">
        <v>200</v>
      </c>
      <c r="M42" s="25">
        <v>300</v>
      </c>
      <c r="N42" s="25">
        <v>400</v>
      </c>
      <c r="O42" s="25"/>
      <c r="P42" s="25"/>
      <c r="Q42" s="25"/>
      <c r="R42" s="26">
        <v>900</v>
      </c>
      <c r="S42" s="24">
        <v>4</v>
      </c>
      <c r="T42" s="26">
        <v>4</v>
      </c>
      <c r="U42" s="25">
        <v>240</v>
      </c>
      <c r="V42" s="25">
        <v>240</v>
      </c>
      <c r="W42" s="25">
        <v>240</v>
      </c>
      <c r="X42" s="25"/>
      <c r="Y42" s="25">
        <v>720</v>
      </c>
      <c r="Z42" s="26"/>
      <c r="AA42" s="25">
        <v>200</v>
      </c>
      <c r="AB42" s="25">
        <v>200</v>
      </c>
      <c r="AC42" s="25">
        <v>300</v>
      </c>
      <c r="AD42" s="25"/>
      <c r="AE42" s="25"/>
      <c r="AF42" s="25"/>
      <c r="AG42" s="26">
        <v>900</v>
      </c>
    </row>
    <row r="43" spans="1:33" ht="17.100000000000001" customHeight="1">
      <c r="A43" s="27">
        <v>4.5</v>
      </c>
      <c r="B43" s="17">
        <v>85</v>
      </c>
      <c r="C43" s="18">
        <v>77</v>
      </c>
      <c r="D43" s="19">
        <f t="shared" si="1"/>
        <v>11.17</v>
      </c>
      <c r="E43" s="20">
        <v>50</v>
      </c>
      <c r="F43" s="21">
        <v>30</v>
      </c>
      <c r="G43" s="20">
        <v>50</v>
      </c>
      <c r="H43" s="21">
        <v>20</v>
      </c>
      <c r="I43" s="22" t="s">
        <v>0</v>
      </c>
      <c r="J43" s="23" t="s">
        <v>0</v>
      </c>
      <c r="K43" s="24" t="s">
        <v>0</v>
      </c>
      <c r="L43" s="22">
        <v>200</v>
      </c>
      <c r="M43" s="25">
        <v>300</v>
      </c>
      <c r="N43" s="25">
        <v>400</v>
      </c>
      <c r="O43" s="25"/>
      <c r="P43" s="25"/>
      <c r="Q43" s="25"/>
      <c r="R43" s="26">
        <v>900</v>
      </c>
      <c r="S43" s="24">
        <v>4</v>
      </c>
      <c r="T43" s="26">
        <v>4</v>
      </c>
      <c r="U43" s="25">
        <v>240</v>
      </c>
      <c r="V43" s="25">
        <v>240</v>
      </c>
      <c r="W43" s="25">
        <v>240</v>
      </c>
      <c r="X43" s="25"/>
      <c r="Y43" s="25">
        <v>720</v>
      </c>
      <c r="Z43" s="26"/>
      <c r="AA43" s="25">
        <v>200</v>
      </c>
      <c r="AB43" s="25">
        <v>200</v>
      </c>
      <c r="AC43" s="25">
        <v>300</v>
      </c>
      <c r="AD43" s="25"/>
      <c r="AE43" s="25"/>
      <c r="AF43" s="25"/>
      <c r="AG43" s="26">
        <v>900</v>
      </c>
    </row>
    <row r="44" spans="1:33" ht="17.100000000000001" customHeight="1">
      <c r="A44" s="27">
        <v>4.7</v>
      </c>
      <c r="B44" s="17">
        <v>85</v>
      </c>
      <c r="C44" s="18">
        <v>77</v>
      </c>
      <c r="D44" s="19">
        <f t="shared" si="1"/>
        <v>11.67</v>
      </c>
      <c r="E44" s="20">
        <v>50</v>
      </c>
      <c r="F44" s="21">
        <v>30</v>
      </c>
      <c r="G44" s="20">
        <v>50</v>
      </c>
      <c r="H44" s="21">
        <v>20</v>
      </c>
      <c r="I44" s="22" t="s">
        <v>0</v>
      </c>
      <c r="J44" s="23" t="s">
        <v>0</v>
      </c>
      <c r="K44" s="24" t="s">
        <v>0</v>
      </c>
      <c r="L44" s="22">
        <v>200</v>
      </c>
      <c r="M44" s="25">
        <v>300</v>
      </c>
      <c r="N44" s="25">
        <v>400</v>
      </c>
      <c r="O44" s="25"/>
      <c r="P44" s="25"/>
      <c r="Q44" s="25"/>
      <c r="R44" s="26">
        <v>900</v>
      </c>
      <c r="S44" s="24">
        <v>4</v>
      </c>
      <c r="T44" s="26">
        <v>4</v>
      </c>
      <c r="U44" s="25">
        <v>240</v>
      </c>
      <c r="V44" s="25">
        <v>240</v>
      </c>
      <c r="W44" s="25">
        <v>240</v>
      </c>
      <c r="X44" s="25"/>
      <c r="Y44" s="25">
        <v>720</v>
      </c>
      <c r="Z44" s="26"/>
      <c r="AA44" s="25">
        <v>200</v>
      </c>
      <c r="AB44" s="25">
        <v>200</v>
      </c>
      <c r="AC44" s="25">
        <v>300</v>
      </c>
      <c r="AD44" s="25"/>
      <c r="AE44" s="25"/>
      <c r="AF44" s="25"/>
      <c r="AG44" s="26">
        <v>900</v>
      </c>
    </row>
    <row r="45" spans="1:33" ht="17.100000000000001" customHeight="1">
      <c r="A45" s="27">
        <v>5.2</v>
      </c>
      <c r="B45" s="17">
        <v>83</v>
      </c>
      <c r="C45" s="18">
        <v>78</v>
      </c>
      <c r="D45" s="19">
        <f t="shared" si="1"/>
        <v>12.93</v>
      </c>
      <c r="E45" s="20">
        <v>50</v>
      </c>
      <c r="F45" s="21">
        <v>30</v>
      </c>
      <c r="G45" s="20">
        <v>50</v>
      </c>
      <c r="H45" s="21">
        <v>20</v>
      </c>
      <c r="I45" s="22" t="s">
        <v>0</v>
      </c>
      <c r="J45" s="23" t="s">
        <v>0</v>
      </c>
      <c r="K45" s="24" t="s">
        <v>0</v>
      </c>
      <c r="L45" s="22">
        <v>200</v>
      </c>
      <c r="M45" s="25">
        <v>300</v>
      </c>
      <c r="N45" s="25">
        <v>400</v>
      </c>
      <c r="O45" s="25"/>
      <c r="P45" s="25"/>
      <c r="Q45" s="25"/>
      <c r="R45" s="26">
        <v>900</v>
      </c>
      <c r="S45" s="24">
        <v>4</v>
      </c>
      <c r="T45" s="26">
        <v>4</v>
      </c>
      <c r="U45" s="25">
        <v>240</v>
      </c>
      <c r="V45" s="25">
        <v>240</v>
      </c>
      <c r="W45" s="25">
        <v>240</v>
      </c>
      <c r="X45" s="25"/>
      <c r="Y45" s="25">
        <v>720</v>
      </c>
      <c r="Z45" s="26"/>
      <c r="AA45" s="25">
        <v>200</v>
      </c>
      <c r="AB45" s="25">
        <v>200</v>
      </c>
      <c r="AC45" s="25">
        <v>300</v>
      </c>
      <c r="AD45" s="25"/>
      <c r="AE45" s="25"/>
      <c r="AF45" s="25"/>
      <c r="AG45" s="26">
        <v>900</v>
      </c>
    </row>
    <row r="46" spans="1:33" ht="17.100000000000001" customHeight="1">
      <c r="A46" s="27">
        <v>5.5</v>
      </c>
      <c r="B46" s="17">
        <v>85</v>
      </c>
      <c r="C46" s="18">
        <v>77</v>
      </c>
      <c r="D46" s="19">
        <v>13.68</v>
      </c>
      <c r="E46" s="20">
        <v>50</v>
      </c>
      <c r="F46" s="21">
        <v>40</v>
      </c>
      <c r="G46" s="20">
        <v>50</v>
      </c>
      <c r="H46" s="21">
        <v>20</v>
      </c>
      <c r="I46" s="22" t="s">
        <v>27</v>
      </c>
      <c r="J46" s="23" t="s">
        <v>24</v>
      </c>
      <c r="K46" s="24">
        <v>50</v>
      </c>
      <c r="L46" s="22">
        <v>200</v>
      </c>
      <c r="M46" s="25">
        <v>300</v>
      </c>
      <c r="N46" s="25">
        <v>400</v>
      </c>
      <c r="O46" s="25"/>
      <c r="P46" s="25"/>
      <c r="Q46" s="25">
        <v>800</v>
      </c>
      <c r="R46" s="26">
        <v>900</v>
      </c>
      <c r="S46" s="24">
        <v>6</v>
      </c>
      <c r="T46" s="26">
        <v>4</v>
      </c>
      <c r="U46" s="25">
        <v>240</v>
      </c>
      <c r="V46" s="25">
        <v>240</v>
      </c>
      <c r="W46" s="25">
        <v>240</v>
      </c>
      <c r="X46" s="25"/>
      <c r="Y46" s="25">
        <v>720</v>
      </c>
      <c r="Z46" s="26"/>
      <c r="AA46" s="25">
        <v>200</v>
      </c>
      <c r="AB46" s="25">
        <v>200</v>
      </c>
      <c r="AC46" s="25">
        <v>300</v>
      </c>
      <c r="AD46" s="25"/>
      <c r="AE46" s="25"/>
      <c r="AF46" s="25">
        <v>800</v>
      </c>
      <c r="AG46" s="26">
        <v>900</v>
      </c>
    </row>
    <row r="47" spans="1:33" ht="17.100000000000001" customHeight="1">
      <c r="A47" s="27">
        <v>5.95</v>
      </c>
      <c r="B47" s="17">
        <v>86</v>
      </c>
      <c r="C47" s="18">
        <v>78</v>
      </c>
      <c r="D47" s="19">
        <f>ROUND(D$46+((D$52-D$46)*((A47-A$46)/(A$52-A$46))),2)</f>
        <v>14.63</v>
      </c>
      <c r="E47" s="20">
        <v>50</v>
      </c>
      <c r="F47" s="21">
        <v>40</v>
      </c>
      <c r="G47" s="20">
        <v>50</v>
      </c>
      <c r="H47" s="21">
        <v>20</v>
      </c>
      <c r="I47" s="22" t="s">
        <v>0</v>
      </c>
      <c r="J47" s="23" t="s">
        <v>0</v>
      </c>
      <c r="K47" s="24" t="s">
        <v>0</v>
      </c>
      <c r="L47" s="22">
        <v>200</v>
      </c>
      <c r="M47" s="25">
        <v>300</v>
      </c>
      <c r="N47" s="25">
        <v>400</v>
      </c>
      <c r="O47" s="25"/>
      <c r="P47" s="25"/>
      <c r="Q47" s="25">
        <v>800</v>
      </c>
      <c r="R47" s="26">
        <v>900</v>
      </c>
      <c r="S47" s="24">
        <v>6</v>
      </c>
      <c r="T47" s="26">
        <v>4</v>
      </c>
      <c r="U47" s="25">
        <v>240</v>
      </c>
      <c r="V47" s="25">
        <v>240</v>
      </c>
      <c r="W47" s="25">
        <v>240</v>
      </c>
      <c r="X47" s="25"/>
      <c r="Y47" s="25">
        <v>720</v>
      </c>
      <c r="Z47" s="26"/>
      <c r="AA47" s="25">
        <v>200</v>
      </c>
      <c r="AB47" s="25">
        <v>200</v>
      </c>
      <c r="AC47" s="25">
        <v>400</v>
      </c>
      <c r="AD47" s="25"/>
      <c r="AE47" s="25"/>
      <c r="AF47" s="25">
        <v>800</v>
      </c>
      <c r="AG47" s="26">
        <v>900</v>
      </c>
    </row>
    <row r="48" spans="1:33" ht="17.100000000000001" customHeight="1">
      <c r="A48" s="27">
        <v>6</v>
      </c>
      <c r="B48" s="17">
        <v>86</v>
      </c>
      <c r="C48" s="18">
        <v>78</v>
      </c>
      <c r="D48" s="19">
        <f>ROUND(D$46+((D$52-D$46)*((A48-A$46)/(A$52-A$46))),2)</f>
        <v>14.73</v>
      </c>
      <c r="E48" s="20">
        <v>50</v>
      </c>
      <c r="F48" s="21">
        <v>40</v>
      </c>
      <c r="G48" s="20">
        <v>50</v>
      </c>
      <c r="H48" s="21">
        <v>20</v>
      </c>
      <c r="I48" s="22" t="s">
        <v>0</v>
      </c>
      <c r="J48" s="23" t="s">
        <v>0</v>
      </c>
      <c r="K48" s="24" t="s">
        <v>0</v>
      </c>
      <c r="L48" s="22">
        <v>200</v>
      </c>
      <c r="M48" s="25">
        <v>300</v>
      </c>
      <c r="N48" s="25">
        <v>400</v>
      </c>
      <c r="O48" s="25"/>
      <c r="P48" s="25"/>
      <c r="Q48" s="25">
        <v>800</v>
      </c>
      <c r="R48" s="26">
        <v>900</v>
      </c>
      <c r="S48" s="24">
        <v>6</v>
      </c>
      <c r="T48" s="26">
        <v>4</v>
      </c>
      <c r="U48" s="25">
        <v>240</v>
      </c>
      <c r="V48" s="25">
        <v>240</v>
      </c>
      <c r="W48" s="25">
        <v>240</v>
      </c>
      <c r="X48" s="25"/>
      <c r="Y48" s="25">
        <v>720</v>
      </c>
      <c r="Z48" s="26"/>
      <c r="AA48" s="25">
        <v>200</v>
      </c>
      <c r="AB48" s="25">
        <v>200</v>
      </c>
      <c r="AC48" s="25">
        <v>400</v>
      </c>
      <c r="AD48" s="25"/>
      <c r="AE48" s="25"/>
      <c r="AF48" s="25">
        <v>800</v>
      </c>
      <c r="AG48" s="26">
        <v>900</v>
      </c>
    </row>
    <row r="49" spans="1:33" ht="17.100000000000001" customHeight="1">
      <c r="A49" s="27">
        <v>6.25</v>
      </c>
      <c r="B49" s="17">
        <v>86</v>
      </c>
      <c r="C49" s="18">
        <v>78</v>
      </c>
      <c r="D49" s="19">
        <f>ROUND(D$46+((D$52-D$46)*((A49-A$46)/(A$52-A$46))),2)</f>
        <v>15.26</v>
      </c>
      <c r="E49" s="20">
        <v>50</v>
      </c>
      <c r="F49" s="21">
        <v>40</v>
      </c>
      <c r="G49" s="20">
        <v>50</v>
      </c>
      <c r="H49" s="21">
        <v>20</v>
      </c>
      <c r="I49" s="22" t="s">
        <v>0</v>
      </c>
      <c r="J49" s="23" t="s">
        <v>0</v>
      </c>
      <c r="K49" s="24" t="s">
        <v>0</v>
      </c>
      <c r="L49" s="22">
        <v>200</v>
      </c>
      <c r="M49" s="25">
        <v>300</v>
      </c>
      <c r="N49" s="25">
        <v>400</v>
      </c>
      <c r="O49" s="25"/>
      <c r="P49" s="25"/>
      <c r="Q49" s="25">
        <v>800</v>
      </c>
      <c r="R49" s="26">
        <v>900</v>
      </c>
      <c r="S49" s="24">
        <v>6</v>
      </c>
      <c r="T49" s="26">
        <v>4</v>
      </c>
      <c r="U49" s="25">
        <v>240</v>
      </c>
      <c r="V49" s="25">
        <v>240</v>
      </c>
      <c r="W49" s="25">
        <v>240</v>
      </c>
      <c r="X49" s="25"/>
      <c r="Y49" s="25">
        <v>720</v>
      </c>
      <c r="Z49" s="26"/>
      <c r="AA49" s="25">
        <v>200</v>
      </c>
      <c r="AB49" s="25">
        <v>200</v>
      </c>
      <c r="AC49" s="25">
        <v>400</v>
      </c>
      <c r="AD49" s="25"/>
      <c r="AE49" s="25"/>
      <c r="AF49" s="25">
        <v>800</v>
      </c>
      <c r="AG49" s="26">
        <v>900</v>
      </c>
    </row>
    <row r="50" spans="1:33" ht="17.100000000000001" customHeight="1">
      <c r="A50" s="27">
        <v>7</v>
      </c>
      <c r="B50" s="17">
        <v>86</v>
      </c>
      <c r="C50" s="18">
        <v>78</v>
      </c>
      <c r="D50" s="19">
        <f>ROUND(D$46+((D$52-D$46)*((A50-A$46)/(A$52-A$46))),2)</f>
        <v>16.84</v>
      </c>
      <c r="E50" s="20">
        <v>50</v>
      </c>
      <c r="F50" s="21">
        <v>50</v>
      </c>
      <c r="G50" s="20">
        <v>50</v>
      </c>
      <c r="H50" s="21">
        <v>30</v>
      </c>
      <c r="I50" s="22" t="s">
        <v>0</v>
      </c>
      <c r="J50" s="23" t="s">
        <v>0</v>
      </c>
      <c r="K50" s="24" t="s">
        <v>0</v>
      </c>
      <c r="L50" s="22">
        <v>200</v>
      </c>
      <c r="M50" s="25">
        <v>300</v>
      </c>
      <c r="N50" s="25">
        <v>400</v>
      </c>
      <c r="O50" s="25"/>
      <c r="P50" s="25"/>
      <c r="Q50" s="25">
        <v>800</v>
      </c>
      <c r="R50" s="26">
        <v>900</v>
      </c>
      <c r="S50" s="24">
        <v>6</v>
      </c>
      <c r="T50" s="26">
        <v>4</v>
      </c>
      <c r="U50" s="25">
        <v>240</v>
      </c>
      <c r="V50" s="25">
        <v>240</v>
      </c>
      <c r="W50" s="25">
        <v>240</v>
      </c>
      <c r="X50" s="25"/>
      <c r="Y50" s="25">
        <v>720</v>
      </c>
      <c r="Z50" s="26"/>
      <c r="AA50" s="25">
        <v>200</v>
      </c>
      <c r="AB50" s="25">
        <v>200</v>
      </c>
      <c r="AC50" s="25">
        <v>400</v>
      </c>
      <c r="AD50" s="25"/>
      <c r="AE50" s="25"/>
      <c r="AF50" s="25">
        <v>800</v>
      </c>
      <c r="AG50" s="26">
        <v>900</v>
      </c>
    </row>
    <row r="51" spans="1:33" ht="17.100000000000001" customHeight="1">
      <c r="A51" s="27">
        <v>7.4</v>
      </c>
      <c r="B51" s="17">
        <v>86</v>
      </c>
      <c r="C51" s="18">
        <v>78</v>
      </c>
      <c r="D51" s="19">
        <f>ROUND(D$46+((D$52-D$46)*((A51-A$46)/(A$52-A$46))),2)</f>
        <v>17.68</v>
      </c>
      <c r="E51" s="20">
        <v>50</v>
      </c>
      <c r="F51" s="21">
        <v>50</v>
      </c>
      <c r="G51" s="20">
        <v>50</v>
      </c>
      <c r="H51" s="21">
        <v>30</v>
      </c>
      <c r="I51" s="22" t="s">
        <v>0</v>
      </c>
      <c r="J51" s="23" t="s">
        <v>0</v>
      </c>
      <c r="K51" s="24" t="s">
        <v>0</v>
      </c>
      <c r="L51" s="22">
        <v>200</v>
      </c>
      <c r="M51" s="25">
        <v>300</v>
      </c>
      <c r="N51" s="25">
        <v>400</v>
      </c>
      <c r="O51" s="25"/>
      <c r="P51" s="25"/>
      <c r="Q51" s="25">
        <v>800</v>
      </c>
      <c r="R51" s="26">
        <v>900</v>
      </c>
      <c r="S51" s="24">
        <v>6</v>
      </c>
      <c r="T51" s="26">
        <v>4</v>
      </c>
      <c r="U51" s="25">
        <v>240</v>
      </c>
      <c r="V51" s="25">
        <v>240</v>
      </c>
      <c r="W51" s="25">
        <v>240</v>
      </c>
      <c r="X51" s="25"/>
      <c r="Y51" s="25">
        <v>720</v>
      </c>
      <c r="Z51" s="26"/>
      <c r="AA51" s="25">
        <v>200</v>
      </c>
      <c r="AB51" s="25">
        <v>200</v>
      </c>
      <c r="AC51" s="25">
        <v>400</v>
      </c>
      <c r="AD51" s="25"/>
      <c r="AE51" s="25"/>
      <c r="AF51" s="25">
        <v>800</v>
      </c>
      <c r="AG51" s="26">
        <v>900</v>
      </c>
    </row>
    <row r="52" spans="1:33" ht="17.100000000000001" customHeight="1">
      <c r="A52" s="27">
        <v>7.5</v>
      </c>
      <c r="B52" s="17">
        <v>86</v>
      </c>
      <c r="C52" s="18">
        <v>78</v>
      </c>
      <c r="D52" s="19">
        <v>17.89</v>
      </c>
      <c r="E52" s="20">
        <v>50</v>
      </c>
      <c r="F52" s="21">
        <v>50</v>
      </c>
      <c r="G52" s="20">
        <v>50</v>
      </c>
      <c r="H52" s="21">
        <v>30</v>
      </c>
      <c r="I52" s="22" t="s">
        <v>26</v>
      </c>
      <c r="J52" s="23" t="s">
        <v>24</v>
      </c>
      <c r="K52" s="24">
        <v>75</v>
      </c>
      <c r="L52" s="22">
        <v>200</v>
      </c>
      <c r="M52" s="25">
        <v>300</v>
      </c>
      <c r="N52" s="25">
        <v>400</v>
      </c>
      <c r="O52" s="25">
        <v>500</v>
      </c>
      <c r="P52" s="25"/>
      <c r="Q52" s="25">
        <v>800</v>
      </c>
      <c r="R52" s="26">
        <v>900</v>
      </c>
      <c r="S52" s="24">
        <v>10</v>
      </c>
      <c r="T52" s="26">
        <v>4</v>
      </c>
      <c r="U52" s="25">
        <v>240</v>
      </c>
      <c r="V52" s="25">
        <v>240</v>
      </c>
      <c r="W52" s="25">
        <v>240</v>
      </c>
      <c r="X52" s="25"/>
      <c r="Y52" s="25">
        <v>720</v>
      </c>
      <c r="Z52" s="26"/>
      <c r="AA52" s="25">
        <v>200</v>
      </c>
      <c r="AB52" s="25">
        <v>200</v>
      </c>
      <c r="AC52" s="25">
        <v>400</v>
      </c>
      <c r="AD52" s="25">
        <v>500</v>
      </c>
      <c r="AE52" s="25"/>
      <c r="AF52" s="25">
        <v>800</v>
      </c>
      <c r="AG52" s="26">
        <v>900</v>
      </c>
    </row>
    <row r="53" spans="1:33" ht="17.100000000000001" customHeight="1">
      <c r="A53" s="27">
        <v>7.75</v>
      </c>
      <c r="B53" s="17">
        <v>87</v>
      </c>
      <c r="C53" s="18">
        <v>79</v>
      </c>
      <c r="D53" s="19">
        <f>ROUND(D$52+((D$56-D$52)*((A53-A$52)/(A$56-A$52))),2)</f>
        <v>18.420000000000002</v>
      </c>
      <c r="E53" s="20">
        <v>50</v>
      </c>
      <c r="F53" s="21">
        <v>50</v>
      </c>
      <c r="G53" s="20">
        <v>50</v>
      </c>
      <c r="H53" s="21">
        <v>30</v>
      </c>
      <c r="I53" s="22" t="s">
        <v>25</v>
      </c>
      <c r="J53" s="23" t="s">
        <v>24</v>
      </c>
      <c r="K53" s="24">
        <v>100</v>
      </c>
      <c r="L53" s="22">
        <v>200</v>
      </c>
      <c r="M53" s="25">
        <v>300</v>
      </c>
      <c r="N53" s="25">
        <v>400</v>
      </c>
      <c r="O53" s="25">
        <v>500</v>
      </c>
      <c r="P53" s="25"/>
      <c r="Q53" s="25">
        <v>800</v>
      </c>
      <c r="R53" s="26">
        <v>900</v>
      </c>
      <c r="S53" s="24">
        <v>10</v>
      </c>
      <c r="T53" s="26">
        <v>4</v>
      </c>
      <c r="U53" s="25">
        <v>240</v>
      </c>
      <c r="V53" s="25">
        <v>240</v>
      </c>
      <c r="W53" s="25">
        <v>240</v>
      </c>
      <c r="X53" s="25"/>
      <c r="Y53" s="25">
        <v>720</v>
      </c>
      <c r="Z53" s="26"/>
      <c r="AA53" s="25">
        <v>200</v>
      </c>
      <c r="AB53" s="25">
        <v>200</v>
      </c>
      <c r="AC53" s="25">
        <v>400</v>
      </c>
      <c r="AD53" s="25">
        <v>500</v>
      </c>
      <c r="AE53" s="25"/>
      <c r="AF53" s="25">
        <v>800</v>
      </c>
      <c r="AG53" s="26">
        <v>900</v>
      </c>
    </row>
    <row r="54" spans="1:33" ht="17.100000000000001" customHeight="1">
      <c r="A54" s="27">
        <v>8.4</v>
      </c>
      <c r="B54" s="17">
        <v>87</v>
      </c>
      <c r="C54" s="18">
        <v>79</v>
      </c>
      <c r="D54" s="19">
        <f>ROUND(D$52+((D$56-D$52)*((A54-A$52)/(A$56-A$52))),2)</f>
        <v>19.79</v>
      </c>
      <c r="E54" s="20">
        <v>50</v>
      </c>
      <c r="F54" s="21">
        <v>50</v>
      </c>
      <c r="G54" s="20">
        <v>50</v>
      </c>
      <c r="H54" s="21">
        <v>30</v>
      </c>
      <c r="I54" s="22" t="s">
        <v>25</v>
      </c>
      <c r="J54" s="23" t="s">
        <v>24</v>
      </c>
      <c r="K54" s="24">
        <v>100</v>
      </c>
      <c r="L54" s="22">
        <v>200</v>
      </c>
      <c r="M54" s="25">
        <v>300</v>
      </c>
      <c r="N54" s="25">
        <v>400</v>
      </c>
      <c r="O54" s="25">
        <v>500</v>
      </c>
      <c r="P54" s="25"/>
      <c r="Q54" s="25">
        <v>800</v>
      </c>
      <c r="R54" s="26">
        <v>900</v>
      </c>
      <c r="S54" s="24">
        <v>10</v>
      </c>
      <c r="T54" s="26">
        <v>4</v>
      </c>
      <c r="U54" s="25">
        <v>240</v>
      </c>
      <c r="V54" s="25">
        <v>240</v>
      </c>
      <c r="W54" s="25">
        <v>240</v>
      </c>
      <c r="X54" s="25"/>
      <c r="Y54" s="25">
        <v>720</v>
      </c>
      <c r="Z54" s="26"/>
      <c r="AA54" s="25">
        <v>200</v>
      </c>
      <c r="AB54" s="25">
        <v>200</v>
      </c>
      <c r="AC54" s="25">
        <v>400</v>
      </c>
      <c r="AD54" s="25">
        <v>500</v>
      </c>
      <c r="AE54" s="25"/>
      <c r="AF54" s="25">
        <v>800</v>
      </c>
      <c r="AG54" s="26">
        <v>900</v>
      </c>
    </row>
    <row r="55" spans="1:33" ht="17.100000000000001" customHeight="1">
      <c r="A55" s="27">
        <v>8.85</v>
      </c>
      <c r="B55" s="17">
        <v>87</v>
      </c>
      <c r="C55" s="18">
        <v>79</v>
      </c>
      <c r="D55" s="19">
        <f>ROUND(D$52+((D$56-D$52)*((A55-A$52)/(A$56-A$52))),2)</f>
        <v>20.73</v>
      </c>
      <c r="E55" s="20">
        <v>50</v>
      </c>
      <c r="F55" s="21">
        <v>50</v>
      </c>
      <c r="G55" s="20">
        <v>50</v>
      </c>
      <c r="H55" s="21">
        <v>30</v>
      </c>
      <c r="I55" s="22" t="s">
        <v>25</v>
      </c>
      <c r="J55" s="23" t="s">
        <v>24</v>
      </c>
      <c r="K55" s="24">
        <v>100</v>
      </c>
      <c r="L55" s="22">
        <v>200</v>
      </c>
      <c r="M55" s="25">
        <v>300</v>
      </c>
      <c r="N55" s="25">
        <v>400</v>
      </c>
      <c r="O55" s="25">
        <v>500</v>
      </c>
      <c r="P55" s="25"/>
      <c r="Q55" s="25">
        <v>800</v>
      </c>
      <c r="R55" s="26">
        <v>900</v>
      </c>
      <c r="S55" s="24">
        <v>10</v>
      </c>
      <c r="T55" s="26">
        <v>4</v>
      </c>
      <c r="U55" s="25">
        <v>240</v>
      </c>
      <c r="V55" s="25">
        <v>240</v>
      </c>
      <c r="W55" s="25">
        <v>240</v>
      </c>
      <c r="X55" s="25"/>
      <c r="Y55" s="25">
        <v>720</v>
      </c>
      <c r="Z55" s="26"/>
      <c r="AA55" s="25">
        <v>200</v>
      </c>
      <c r="AB55" s="25">
        <v>200</v>
      </c>
      <c r="AC55" s="25">
        <v>400</v>
      </c>
      <c r="AD55" s="25">
        <v>500</v>
      </c>
      <c r="AE55" s="25"/>
      <c r="AF55" s="25">
        <v>800</v>
      </c>
      <c r="AG55" s="26">
        <v>900</v>
      </c>
    </row>
    <row r="56" spans="1:33" ht="17.100000000000001" customHeight="1">
      <c r="A56" s="27">
        <v>11</v>
      </c>
      <c r="B56" s="17">
        <v>87</v>
      </c>
      <c r="C56" s="18">
        <v>79</v>
      </c>
      <c r="D56" s="19">
        <v>25.26</v>
      </c>
      <c r="E56" s="20">
        <v>100</v>
      </c>
      <c r="F56" s="21">
        <v>75</v>
      </c>
      <c r="G56" s="20">
        <v>50</v>
      </c>
      <c r="H56" s="21">
        <v>40</v>
      </c>
      <c r="I56" s="22" t="s">
        <v>25</v>
      </c>
      <c r="J56" s="23" t="s">
        <v>24</v>
      </c>
      <c r="K56" s="24">
        <v>100</v>
      </c>
      <c r="L56" s="22">
        <v>200</v>
      </c>
      <c r="M56" s="25">
        <v>400</v>
      </c>
      <c r="N56" s="25">
        <v>500</v>
      </c>
      <c r="O56" s="25">
        <v>500</v>
      </c>
      <c r="P56" s="25"/>
      <c r="Q56" s="25">
        <v>800</v>
      </c>
      <c r="R56" s="26">
        <v>1100</v>
      </c>
      <c r="S56" s="24">
        <v>10</v>
      </c>
      <c r="T56" s="26">
        <v>6</v>
      </c>
      <c r="U56" s="25">
        <v>240</v>
      </c>
      <c r="V56" s="25">
        <v>240</v>
      </c>
      <c r="W56" s="25">
        <v>240</v>
      </c>
      <c r="X56" s="25"/>
      <c r="Y56" s="25">
        <v>720</v>
      </c>
      <c r="Z56" s="26"/>
      <c r="AA56" s="25">
        <v>200</v>
      </c>
      <c r="AB56" s="25">
        <v>300</v>
      </c>
      <c r="AC56" s="25">
        <v>400</v>
      </c>
      <c r="AD56" s="25">
        <v>500</v>
      </c>
      <c r="AE56" s="25"/>
      <c r="AF56" s="25">
        <v>800</v>
      </c>
      <c r="AG56" s="26">
        <v>1100</v>
      </c>
    </row>
    <row r="57" spans="1:33" ht="17.100000000000001" customHeight="1">
      <c r="A57" s="27">
        <v>11.1</v>
      </c>
      <c r="B57" s="17">
        <v>87</v>
      </c>
      <c r="C57" s="18">
        <v>79</v>
      </c>
      <c r="D57" s="19">
        <f t="shared" ref="D57:D62" si="2">ROUND(D$56+((D$63-D$56)*((A57-A$56)/(A$63-A$56))),2)</f>
        <v>25.48</v>
      </c>
      <c r="E57" s="20">
        <v>100</v>
      </c>
      <c r="F57" s="21">
        <v>75</v>
      </c>
      <c r="G57" s="20">
        <v>50</v>
      </c>
      <c r="H57" s="21">
        <v>40</v>
      </c>
      <c r="I57" s="22" t="s">
        <v>23</v>
      </c>
      <c r="J57" s="23" t="s">
        <v>23</v>
      </c>
      <c r="K57" s="24" t="s">
        <v>23</v>
      </c>
      <c r="L57" s="22">
        <v>200</v>
      </c>
      <c r="M57" s="25">
        <v>400</v>
      </c>
      <c r="N57" s="25">
        <v>500</v>
      </c>
      <c r="O57" s="25">
        <v>500</v>
      </c>
      <c r="P57" s="25"/>
      <c r="Q57" s="25">
        <v>800</v>
      </c>
      <c r="R57" s="26">
        <v>1100</v>
      </c>
      <c r="S57" s="24">
        <v>10</v>
      </c>
      <c r="T57" s="26">
        <v>6</v>
      </c>
      <c r="U57" s="25">
        <v>240</v>
      </c>
      <c r="V57" s="25">
        <v>240</v>
      </c>
      <c r="W57" s="25">
        <v>240</v>
      </c>
      <c r="X57" s="25"/>
      <c r="Y57" s="25">
        <v>720</v>
      </c>
      <c r="Z57" s="26"/>
      <c r="AA57" s="25">
        <v>200</v>
      </c>
      <c r="AB57" s="25">
        <v>300</v>
      </c>
      <c r="AC57" s="25">
        <v>400</v>
      </c>
      <c r="AD57" s="25">
        <v>500</v>
      </c>
      <c r="AE57" s="25"/>
      <c r="AF57" s="25">
        <v>800</v>
      </c>
      <c r="AG57" s="26">
        <v>1100</v>
      </c>
    </row>
    <row r="58" spans="1:33" ht="17.100000000000001" customHeight="1">
      <c r="A58" s="27">
        <v>11.25</v>
      </c>
      <c r="B58" s="17">
        <v>87</v>
      </c>
      <c r="C58" s="18">
        <v>79</v>
      </c>
      <c r="D58" s="19">
        <f t="shared" si="2"/>
        <v>25.82</v>
      </c>
      <c r="E58" s="20">
        <v>100</v>
      </c>
      <c r="F58" s="21">
        <v>75</v>
      </c>
      <c r="G58" s="20">
        <v>50</v>
      </c>
      <c r="H58" s="21">
        <v>40</v>
      </c>
      <c r="I58" s="22" t="s">
        <v>23</v>
      </c>
      <c r="J58" s="23" t="s">
        <v>23</v>
      </c>
      <c r="K58" s="24" t="s">
        <v>23</v>
      </c>
      <c r="L58" s="22">
        <v>200</v>
      </c>
      <c r="M58" s="25">
        <v>400</v>
      </c>
      <c r="N58" s="25">
        <v>500</v>
      </c>
      <c r="O58" s="25">
        <v>500</v>
      </c>
      <c r="P58" s="25"/>
      <c r="Q58" s="25">
        <v>800</v>
      </c>
      <c r="R58" s="26">
        <v>1100</v>
      </c>
      <c r="S58" s="24">
        <v>10</v>
      </c>
      <c r="T58" s="26">
        <v>6</v>
      </c>
      <c r="U58" s="25">
        <v>360</v>
      </c>
      <c r="V58" s="25">
        <v>360</v>
      </c>
      <c r="W58" s="25">
        <v>240</v>
      </c>
      <c r="X58" s="25"/>
      <c r="Y58" s="25">
        <v>720</v>
      </c>
      <c r="Z58" s="26"/>
      <c r="AA58" s="25">
        <v>200</v>
      </c>
      <c r="AB58" s="25">
        <v>300</v>
      </c>
      <c r="AC58" s="25">
        <v>400</v>
      </c>
      <c r="AD58" s="25">
        <v>500</v>
      </c>
      <c r="AE58" s="25"/>
      <c r="AF58" s="25">
        <v>800</v>
      </c>
      <c r="AG58" s="26">
        <v>1100</v>
      </c>
    </row>
    <row r="59" spans="1:33" ht="17.100000000000001" customHeight="1">
      <c r="A59" s="27">
        <v>11.75</v>
      </c>
      <c r="B59" s="17">
        <v>87</v>
      </c>
      <c r="C59" s="18">
        <v>79</v>
      </c>
      <c r="D59" s="19">
        <f t="shared" si="2"/>
        <v>26.94</v>
      </c>
      <c r="E59" s="20">
        <v>100</v>
      </c>
      <c r="F59" s="21">
        <v>75</v>
      </c>
      <c r="G59" s="20">
        <v>50</v>
      </c>
      <c r="H59" s="21">
        <v>40</v>
      </c>
      <c r="I59" s="22" t="s">
        <v>23</v>
      </c>
      <c r="J59" s="23" t="s">
        <v>23</v>
      </c>
      <c r="K59" s="24" t="s">
        <v>23</v>
      </c>
      <c r="L59" s="22">
        <v>200</v>
      </c>
      <c r="M59" s="25">
        <v>400</v>
      </c>
      <c r="N59" s="25">
        <v>500</v>
      </c>
      <c r="O59" s="25">
        <v>500</v>
      </c>
      <c r="P59" s="25"/>
      <c r="Q59" s="25">
        <v>800</v>
      </c>
      <c r="R59" s="26">
        <v>1100</v>
      </c>
      <c r="S59" s="24">
        <v>10</v>
      </c>
      <c r="T59" s="26">
        <v>6</v>
      </c>
      <c r="U59" s="25">
        <v>360</v>
      </c>
      <c r="V59" s="25">
        <v>360</v>
      </c>
      <c r="W59" s="25">
        <v>240</v>
      </c>
      <c r="X59" s="25"/>
      <c r="Y59" s="25">
        <v>720</v>
      </c>
      <c r="Z59" s="26"/>
      <c r="AA59" s="25">
        <v>200</v>
      </c>
      <c r="AB59" s="25">
        <v>300</v>
      </c>
      <c r="AC59" s="25">
        <v>400</v>
      </c>
      <c r="AD59" s="25">
        <v>500</v>
      </c>
      <c r="AE59" s="25"/>
      <c r="AF59" s="25">
        <v>800</v>
      </c>
      <c r="AG59" s="26">
        <v>1100</v>
      </c>
    </row>
    <row r="60" spans="1:33" ht="17.100000000000001" customHeight="1">
      <c r="A60" s="27">
        <v>12</v>
      </c>
      <c r="B60" s="17">
        <v>87</v>
      </c>
      <c r="C60" s="18">
        <v>79</v>
      </c>
      <c r="D60" s="19">
        <f t="shared" si="2"/>
        <v>27.5</v>
      </c>
      <c r="E60" s="20">
        <v>100</v>
      </c>
      <c r="F60" s="21">
        <v>75</v>
      </c>
      <c r="G60" s="20">
        <v>50</v>
      </c>
      <c r="H60" s="21">
        <v>40</v>
      </c>
      <c r="I60" s="22" t="s">
        <v>23</v>
      </c>
      <c r="J60" s="23" t="s">
        <v>23</v>
      </c>
      <c r="K60" s="24" t="s">
        <v>23</v>
      </c>
      <c r="L60" s="22">
        <v>200</v>
      </c>
      <c r="M60" s="25">
        <v>400</v>
      </c>
      <c r="N60" s="25">
        <v>500</v>
      </c>
      <c r="O60" s="25">
        <v>500</v>
      </c>
      <c r="P60" s="25"/>
      <c r="Q60" s="25">
        <v>800</v>
      </c>
      <c r="R60" s="26">
        <v>1100</v>
      </c>
      <c r="S60" s="24">
        <v>10</v>
      </c>
      <c r="T60" s="26">
        <v>6</v>
      </c>
      <c r="U60" s="25">
        <v>360</v>
      </c>
      <c r="V60" s="25">
        <v>360</v>
      </c>
      <c r="W60" s="25">
        <v>240</v>
      </c>
      <c r="X60" s="25"/>
      <c r="Y60" s="25">
        <v>720</v>
      </c>
      <c r="Z60" s="26"/>
      <c r="AA60" s="25">
        <v>200</v>
      </c>
      <c r="AB60" s="25">
        <v>300</v>
      </c>
      <c r="AC60" s="25">
        <v>400</v>
      </c>
      <c r="AD60" s="25">
        <v>500</v>
      </c>
      <c r="AE60" s="25"/>
      <c r="AF60" s="25">
        <v>800</v>
      </c>
      <c r="AG60" s="26">
        <v>1100</v>
      </c>
    </row>
    <row r="61" spans="1:33" ht="17.100000000000001" customHeight="1">
      <c r="A61" s="27">
        <v>13.6</v>
      </c>
      <c r="B61" s="17">
        <v>87</v>
      </c>
      <c r="C61" s="18">
        <v>79</v>
      </c>
      <c r="D61" s="19">
        <f t="shared" si="2"/>
        <v>31.08</v>
      </c>
      <c r="E61" s="20">
        <v>100</v>
      </c>
      <c r="F61" s="21">
        <v>75</v>
      </c>
      <c r="G61" s="20">
        <v>50</v>
      </c>
      <c r="H61" s="21">
        <v>40</v>
      </c>
      <c r="I61" s="22" t="s">
        <v>23</v>
      </c>
      <c r="J61" s="23" t="s">
        <v>23</v>
      </c>
      <c r="K61" s="24" t="s">
        <v>23</v>
      </c>
      <c r="L61" s="22">
        <v>200</v>
      </c>
      <c r="M61" s="25">
        <v>400</v>
      </c>
      <c r="N61" s="25">
        <v>500</v>
      </c>
      <c r="O61" s="25">
        <v>500</v>
      </c>
      <c r="P61" s="25"/>
      <c r="Q61" s="25">
        <v>800</v>
      </c>
      <c r="R61" s="26">
        <v>1100</v>
      </c>
      <c r="S61" s="24">
        <v>10</v>
      </c>
      <c r="T61" s="26">
        <v>6</v>
      </c>
      <c r="U61" s="25">
        <v>360</v>
      </c>
      <c r="V61" s="25">
        <v>360</v>
      </c>
      <c r="W61" s="25">
        <v>240</v>
      </c>
      <c r="X61" s="25"/>
      <c r="Y61" s="25">
        <v>720</v>
      </c>
      <c r="Z61" s="26"/>
      <c r="AA61" s="25">
        <v>200</v>
      </c>
      <c r="AB61" s="25">
        <v>300</v>
      </c>
      <c r="AC61" s="25">
        <v>400</v>
      </c>
      <c r="AD61" s="25">
        <v>500</v>
      </c>
      <c r="AE61" s="25"/>
      <c r="AF61" s="25">
        <v>800</v>
      </c>
      <c r="AG61" s="26">
        <v>1100</v>
      </c>
    </row>
    <row r="62" spans="1:33" ht="17.100000000000001" customHeight="1">
      <c r="A62" s="27">
        <v>14.35</v>
      </c>
      <c r="B62" s="17">
        <v>87</v>
      </c>
      <c r="C62" s="18">
        <v>79</v>
      </c>
      <c r="D62" s="19">
        <f t="shared" si="2"/>
        <v>32.76</v>
      </c>
      <c r="E62" s="20">
        <v>100</v>
      </c>
      <c r="F62" s="21">
        <v>75</v>
      </c>
      <c r="G62" s="20">
        <v>50</v>
      </c>
      <c r="H62" s="21">
        <v>40</v>
      </c>
      <c r="I62" s="22" t="s">
        <v>23</v>
      </c>
      <c r="J62" s="23" t="s">
        <v>23</v>
      </c>
      <c r="K62" s="24" t="s">
        <v>23</v>
      </c>
      <c r="L62" s="22">
        <v>200</v>
      </c>
      <c r="M62" s="25">
        <v>400</v>
      </c>
      <c r="N62" s="25">
        <v>500</v>
      </c>
      <c r="O62" s="25">
        <v>500</v>
      </c>
      <c r="P62" s="25"/>
      <c r="Q62" s="25">
        <v>800</v>
      </c>
      <c r="R62" s="26">
        <v>1100</v>
      </c>
      <c r="S62" s="24">
        <v>10</v>
      </c>
      <c r="T62" s="26">
        <v>6</v>
      </c>
      <c r="U62" s="25">
        <v>360</v>
      </c>
      <c r="V62" s="25">
        <v>360</v>
      </c>
      <c r="W62" s="25">
        <v>240</v>
      </c>
      <c r="X62" s="25"/>
      <c r="Y62" s="25">
        <v>720</v>
      </c>
      <c r="Z62" s="26"/>
      <c r="AA62" s="25">
        <v>200</v>
      </c>
      <c r="AB62" s="25">
        <v>300</v>
      </c>
      <c r="AC62" s="25">
        <v>400</v>
      </c>
      <c r="AD62" s="25">
        <v>500</v>
      </c>
      <c r="AE62" s="25"/>
      <c r="AF62" s="25">
        <v>800</v>
      </c>
      <c r="AG62" s="26">
        <v>1100</v>
      </c>
    </row>
    <row r="63" spans="1:33" ht="17.100000000000001" customHeight="1">
      <c r="A63" s="27">
        <v>15</v>
      </c>
      <c r="B63" s="17">
        <v>88</v>
      </c>
      <c r="C63" s="18">
        <v>79.5</v>
      </c>
      <c r="D63" s="19">
        <v>34.21</v>
      </c>
      <c r="E63" s="20">
        <v>100</v>
      </c>
      <c r="F63" s="21">
        <v>100</v>
      </c>
      <c r="G63" s="20">
        <v>50</v>
      </c>
      <c r="H63" s="21">
        <v>50</v>
      </c>
      <c r="I63" s="22" t="s">
        <v>22</v>
      </c>
      <c r="J63" s="23" t="s">
        <v>20</v>
      </c>
      <c r="K63" s="24">
        <v>100</v>
      </c>
      <c r="L63" s="22">
        <v>200</v>
      </c>
      <c r="M63" s="25">
        <v>400</v>
      </c>
      <c r="N63" s="25">
        <v>500</v>
      </c>
      <c r="O63" s="25">
        <v>500</v>
      </c>
      <c r="P63" s="25"/>
      <c r="Q63" s="25">
        <v>800</v>
      </c>
      <c r="R63" s="26">
        <v>1100</v>
      </c>
      <c r="S63" s="24">
        <v>16</v>
      </c>
      <c r="T63" s="26">
        <v>6</v>
      </c>
      <c r="U63" s="25">
        <v>360</v>
      </c>
      <c r="V63" s="25">
        <v>360</v>
      </c>
      <c r="W63" s="25">
        <v>480</v>
      </c>
      <c r="X63" s="25"/>
      <c r="Y63" s="25">
        <v>720</v>
      </c>
      <c r="Z63" s="26"/>
      <c r="AA63" s="25">
        <v>200</v>
      </c>
      <c r="AB63" s="25">
        <v>300</v>
      </c>
      <c r="AC63" s="25">
        <v>400</v>
      </c>
      <c r="AD63" s="25">
        <v>500</v>
      </c>
      <c r="AE63" s="25"/>
      <c r="AF63" s="25">
        <v>800</v>
      </c>
      <c r="AG63" s="26">
        <v>1100</v>
      </c>
    </row>
    <row r="64" spans="1:33" ht="17.100000000000001" customHeight="1">
      <c r="A64" s="27">
        <v>15.4</v>
      </c>
      <c r="B64" s="17">
        <v>88.5</v>
      </c>
      <c r="C64" s="18">
        <v>80</v>
      </c>
      <c r="D64" s="19">
        <f>ROUND(A64*10000/(0.38*SQRT(3)*(B64*C64)),2)</f>
        <v>33.049999999999997</v>
      </c>
      <c r="E64" s="20">
        <v>100</v>
      </c>
      <c r="F64" s="21">
        <v>100</v>
      </c>
      <c r="G64" s="20">
        <v>100</v>
      </c>
      <c r="H64" s="21">
        <v>60</v>
      </c>
      <c r="I64" s="22" t="s">
        <v>0</v>
      </c>
      <c r="J64" s="23" t="s">
        <v>0</v>
      </c>
      <c r="K64" s="24" t="s">
        <v>0</v>
      </c>
      <c r="L64" s="22">
        <v>200</v>
      </c>
      <c r="M64" s="25">
        <v>400</v>
      </c>
      <c r="N64" s="25">
        <v>500</v>
      </c>
      <c r="O64" s="25">
        <v>500</v>
      </c>
      <c r="P64" s="25"/>
      <c r="Q64" s="25">
        <v>800</v>
      </c>
      <c r="R64" s="26">
        <v>1100</v>
      </c>
      <c r="S64" s="24">
        <v>16</v>
      </c>
      <c r="T64" s="26">
        <v>6</v>
      </c>
      <c r="U64" s="25">
        <v>360</v>
      </c>
      <c r="V64" s="25">
        <v>360</v>
      </c>
      <c r="W64" s="25">
        <v>480</v>
      </c>
      <c r="X64" s="25"/>
      <c r="Y64" s="25">
        <v>720</v>
      </c>
      <c r="Z64" s="26"/>
      <c r="AA64" s="25">
        <v>200</v>
      </c>
      <c r="AB64" s="25">
        <v>300</v>
      </c>
      <c r="AC64" s="25">
        <v>400</v>
      </c>
      <c r="AD64" s="25">
        <v>500</v>
      </c>
      <c r="AE64" s="25"/>
      <c r="AF64" s="25">
        <v>800</v>
      </c>
      <c r="AG64" s="26">
        <v>1100</v>
      </c>
    </row>
    <row r="65" spans="1:33" ht="17.100000000000001" customHeight="1">
      <c r="A65" s="27">
        <v>16.5</v>
      </c>
      <c r="B65" s="17">
        <v>88.5</v>
      </c>
      <c r="C65" s="18">
        <v>80</v>
      </c>
      <c r="D65" s="19">
        <f>ROUND(A65*10000/(0.38*SQRT(3)*(B65*C65)),2)</f>
        <v>35.409999999999997</v>
      </c>
      <c r="E65" s="20">
        <v>100</v>
      </c>
      <c r="F65" s="21">
        <v>100</v>
      </c>
      <c r="G65" s="20">
        <v>100</v>
      </c>
      <c r="H65" s="21">
        <v>60</v>
      </c>
      <c r="I65" s="22" t="s">
        <v>0</v>
      </c>
      <c r="J65" s="23" t="s">
        <v>0</v>
      </c>
      <c r="K65" s="24" t="s">
        <v>0</v>
      </c>
      <c r="L65" s="22">
        <v>200</v>
      </c>
      <c r="M65" s="25">
        <v>400</v>
      </c>
      <c r="N65" s="25">
        <v>500</v>
      </c>
      <c r="O65" s="25">
        <v>500</v>
      </c>
      <c r="P65" s="25"/>
      <c r="Q65" s="25">
        <v>800</v>
      </c>
      <c r="R65" s="26">
        <v>1100</v>
      </c>
      <c r="S65" s="24">
        <v>16</v>
      </c>
      <c r="T65" s="26">
        <v>6</v>
      </c>
      <c r="U65" s="25">
        <v>360</v>
      </c>
      <c r="V65" s="25">
        <v>360</v>
      </c>
      <c r="W65" s="25">
        <v>480</v>
      </c>
      <c r="X65" s="25"/>
      <c r="Y65" s="25">
        <v>720</v>
      </c>
      <c r="Z65" s="26"/>
      <c r="AA65" s="25">
        <v>200</v>
      </c>
      <c r="AB65" s="25">
        <v>300</v>
      </c>
      <c r="AC65" s="25">
        <v>400</v>
      </c>
      <c r="AD65" s="25">
        <v>500</v>
      </c>
      <c r="AE65" s="25"/>
      <c r="AF65" s="25">
        <v>800</v>
      </c>
      <c r="AG65" s="26">
        <v>1100</v>
      </c>
    </row>
    <row r="66" spans="1:33" ht="17.100000000000001" customHeight="1">
      <c r="A66" s="27">
        <v>18.5</v>
      </c>
      <c r="B66" s="17">
        <v>88.5</v>
      </c>
      <c r="C66" s="18">
        <v>80</v>
      </c>
      <c r="D66" s="19">
        <v>41.58</v>
      </c>
      <c r="E66" s="20">
        <v>100</v>
      </c>
      <c r="F66" s="21">
        <v>100</v>
      </c>
      <c r="G66" s="20">
        <v>100</v>
      </c>
      <c r="H66" s="21">
        <v>60</v>
      </c>
      <c r="I66" s="22" t="s">
        <v>21</v>
      </c>
      <c r="J66" s="23" t="s">
        <v>20</v>
      </c>
      <c r="K66" s="24">
        <v>150</v>
      </c>
      <c r="L66" s="22">
        <v>300</v>
      </c>
      <c r="M66" s="25">
        <v>400</v>
      </c>
      <c r="N66" s="25">
        <v>500</v>
      </c>
      <c r="O66" s="25">
        <v>600</v>
      </c>
      <c r="P66" s="25"/>
      <c r="Q66" s="25">
        <v>800</v>
      </c>
      <c r="R66" s="26">
        <v>1200</v>
      </c>
      <c r="S66" s="24">
        <v>16</v>
      </c>
      <c r="T66" s="26">
        <v>6</v>
      </c>
      <c r="U66" s="25">
        <v>360</v>
      </c>
      <c r="V66" s="25">
        <v>360</v>
      </c>
      <c r="W66" s="25">
        <v>600</v>
      </c>
      <c r="X66" s="25"/>
      <c r="Y66" s="25">
        <v>720</v>
      </c>
      <c r="Z66" s="26"/>
      <c r="AA66" s="25">
        <v>300</v>
      </c>
      <c r="AB66" s="25">
        <v>300</v>
      </c>
      <c r="AC66" s="25">
        <v>600</v>
      </c>
      <c r="AD66" s="25">
        <v>500</v>
      </c>
      <c r="AE66" s="25"/>
      <c r="AF66" s="25">
        <v>800</v>
      </c>
      <c r="AG66" s="26">
        <v>1200</v>
      </c>
    </row>
    <row r="67" spans="1:33" ht="17.100000000000001" customHeight="1">
      <c r="A67" s="27">
        <v>22</v>
      </c>
      <c r="B67" s="17">
        <v>89</v>
      </c>
      <c r="C67" s="18">
        <v>80.5</v>
      </c>
      <c r="D67" s="19">
        <v>48.95</v>
      </c>
      <c r="E67" s="20">
        <v>225</v>
      </c>
      <c r="F67" s="21">
        <v>125</v>
      </c>
      <c r="G67" s="20">
        <v>100</v>
      </c>
      <c r="H67" s="21">
        <v>75</v>
      </c>
      <c r="I67" s="22" t="s">
        <v>19</v>
      </c>
      <c r="J67" s="23" t="s">
        <v>20</v>
      </c>
      <c r="K67" s="24">
        <v>150</v>
      </c>
      <c r="L67" s="22">
        <v>300</v>
      </c>
      <c r="M67" s="25">
        <v>500</v>
      </c>
      <c r="N67" s="25">
        <v>600</v>
      </c>
      <c r="O67" s="25">
        <v>600</v>
      </c>
      <c r="P67" s="25"/>
      <c r="Q67" s="25">
        <v>800</v>
      </c>
      <c r="R67" s="26">
        <v>1200</v>
      </c>
      <c r="S67" s="24">
        <v>25</v>
      </c>
      <c r="T67" s="26">
        <v>10</v>
      </c>
      <c r="U67" s="25">
        <v>360</v>
      </c>
      <c r="V67" s="25">
        <v>360</v>
      </c>
      <c r="W67" s="25">
        <v>600</v>
      </c>
      <c r="X67" s="25"/>
      <c r="Y67" s="25">
        <v>720</v>
      </c>
      <c r="Z67" s="26"/>
      <c r="AA67" s="25">
        <v>300</v>
      </c>
      <c r="AB67" s="25">
        <v>400</v>
      </c>
      <c r="AC67" s="25">
        <v>600</v>
      </c>
      <c r="AD67" s="25">
        <v>500</v>
      </c>
      <c r="AE67" s="25"/>
      <c r="AF67" s="25">
        <v>800</v>
      </c>
      <c r="AG67" s="26">
        <v>1200</v>
      </c>
    </row>
    <row r="68" spans="1:33" ht="17.100000000000001" customHeight="1">
      <c r="A68" s="27">
        <v>22.35</v>
      </c>
      <c r="B68" s="17">
        <v>89.5</v>
      </c>
      <c r="C68" s="18">
        <v>81</v>
      </c>
      <c r="D68" s="19">
        <f>ROUND(A68*10000/(0.38*SQRT(3)*(B68*C68)),2)</f>
        <v>46.84</v>
      </c>
      <c r="E68" s="20">
        <v>225</v>
      </c>
      <c r="F68" s="21">
        <v>125</v>
      </c>
      <c r="G68" s="20">
        <v>100</v>
      </c>
      <c r="H68" s="21">
        <v>100</v>
      </c>
      <c r="I68" s="22" t="s">
        <v>0</v>
      </c>
      <c r="J68" s="23" t="s">
        <v>0</v>
      </c>
      <c r="K68" s="24" t="s">
        <v>0</v>
      </c>
      <c r="L68" s="22">
        <v>300</v>
      </c>
      <c r="M68" s="25">
        <v>500</v>
      </c>
      <c r="N68" s="25">
        <v>600</v>
      </c>
      <c r="O68" s="25">
        <v>600</v>
      </c>
      <c r="P68" s="25"/>
      <c r="Q68" s="25">
        <v>800</v>
      </c>
      <c r="R68" s="26">
        <v>1200</v>
      </c>
      <c r="S68" s="24">
        <v>25</v>
      </c>
      <c r="T68" s="26">
        <v>10</v>
      </c>
      <c r="U68" s="25">
        <v>360</v>
      </c>
      <c r="V68" s="25">
        <v>360</v>
      </c>
      <c r="W68" s="25">
        <v>600</v>
      </c>
      <c r="X68" s="25"/>
      <c r="Y68" s="25">
        <v>720</v>
      </c>
      <c r="Z68" s="26"/>
      <c r="AA68" s="25">
        <v>300</v>
      </c>
      <c r="AB68" s="25">
        <v>400</v>
      </c>
      <c r="AC68" s="25">
        <v>600</v>
      </c>
      <c r="AD68" s="25">
        <v>600</v>
      </c>
      <c r="AE68" s="25"/>
      <c r="AF68" s="25">
        <v>800</v>
      </c>
      <c r="AG68" s="26">
        <v>1200</v>
      </c>
    </row>
    <row r="69" spans="1:33" ht="17.100000000000001" customHeight="1">
      <c r="A69" s="27">
        <v>22.9</v>
      </c>
      <c r="B69" s="17">
        <v>89.5</v>
      </c>
      <c r="C69" s="18">
        <v>81</v>
      </c>
      <c r="D69" s="19">
        <f>ROUND(A69*10000/(0.38*SQRT(3)*(B69*C69)),2)</f>
        <v>47.99</v>
      </c>
      <c r="E69" s="20">
        <v>225</v>
      </c>
      <c r="F69" s="21">
        <v>125</v>
      </c>
      <c r="G69" s="20">
        <v>100</v>
      </c>
      <c r="H69" s="21">
        <v>100</v>
      </c>
      <c r="I69" s="22" t="s">
        <v>0</v>
      </c>
      <c r="J69" s="23" t="s">
        <v>0</v>
      </c>
      <c r="K69" s="24" t="s">
        <v>0</v>
      </c>
      <c r="L69" s="22">
        <v>300</v>
      </c>
      <c r="M69" s="25">
        <v>500</v>
      </c>
      <c r="N69" s="25">
        <v>600</v>
      </c>
      <c r="O69" s="25">
        <v>600</v>
      </c>
      <c r="P69" s="25"/>
      <c r="Q69" s="25">
        <v>800</v>
      </c>
      <c r="R69" s="26">
        <v>1200</v>
      </c>
      <c r="S69" s="24">
        <v>25</v>
      </c>
      <c r="T69" s="26">
        <v>10</v>
      </c>
      <c r="U69" s="25">
        <v>360</v>
      </c>
      <c r="V69" s="25">
        <v>360</v>
      </c>
      <c r="W69" s="25">
        <v>600</v>
      </c>
      <c r="X69" s="25"/>
      <c r="Y69" s="25">
        <v>720</v>
      </c>
      <c r="Z69" s="26"/>
      <c r="AA69" s="25">
        <v>300</v>
      </c>
      <c r="AB69" s="25">
        <v>400</v>
      </c>
      <c r="AC69" s="25">
        <v>600</v>
      </c>
      <c r="AD69" s="25">
        <v>600</v>
      </c>
      <c r="AE69" s="25"/>
      <c r="AF69" s="25">
        <v>800</v>
      </c>
      <c r="AG69" s="26">
        <v>1200</v>
      </c>
    </row>
    <row r="70" spans="1:33" ht="17.100000000000001" customHeight="1">
      <c r="A70" s="27">
        <v>28.45</v>
      </c>
      <c r="B70" s="17">
        <v>89.5</v>
      </c>
      <c r="C70" s="18">
        <v>81</v>
      </c>
      <c r="D70" s="19">
        <f>ROUND(A70*10000/(0.38*SQRT(3)*(B70*C70)),2)</f>
        <v>59.63</v>
      </c>
      <c r="E70" s="20">
        <v>225</v>
      </c>
      <c r="F70" s="21">
        <v>125</v>
      </c>
      <c r="G70" s="20">
        <v>100</v>
      </c>
      <c r="H70" s="21">
        <v>100</v>
      </c>
      <c r="I70" s="22" t="s">
        <v>0</v>
      </c>
      <c r="J70" s="23" t="s">
        <v>0</v>
      </c>
      <c r="K70" s="24" t="s">
        <v>0</v>
      </c>
      <c r="L70" s="22">
        <v>300</v>
      </c>
      <c r="M70" s="25">
        <v>500</v>
      </c>
      <c r="N70" s="25">
        <v>600</v>
      </c>
      <c r="O70" s="25">
        <v>600</v>
      </c>
      <c r="P70" s="25"/>
      <c r="Q70" s="25">
        <v>800</v>
      </c>
      <c r="R70" s="26">
        <v>1200</v>
      </c>
      <c r="S70" s="24">
        <v>25</v>
      </c>
      <c r="T70" s="26">
        <v>10</v>
      </c>
      <c r="U70" s="25">
        <v>360</v>
      </c>
      <c r="V70" s="25">
        <v>360</v>
      </c>
      <c r="W70" s="25">
        <v>600</v>
      </c>
      <c r="X70" s="25"/>
      <c r="Y70" s="25">
        <v>720</v>
      </c>
      <c r="Z70" s="26"/>
      <c r="AA70" s="25">
        <v>300</v>
      </c>
      <c r="AB70" s="25">
        <v>400</v>
      </c>
      <c r="AC70" s="25">
        <v>600</v>
      </c>
      <c r="AD70" s="25">
        <v>600</v>
      </c>
      <c r="AE70" s="25"/>
      <c r="AF70" s="25">
        <v>800</v>
      </c>
      <c r="AG70" s="26">
        <v>1200</v>
      </c>
    </row>
    <row r="71" spans="1:33" ht="17.25" customHeight="1">
      <c r="A71" s="27">
        <v>30</v>
      </c>
      <c r="B71" s="17">
        <v>89.5</v>
      </c>
      <c r="C71" s="18">
        <v>81</v>
      </c>
      <c r="D71" s="19">
        <v>65.790000000000006</v>
      </c>
      <c r="E71" s="20">
        <v>225</v>
      </c>
      <c r="F71" s="21">
        <v>125</v>
      </c>
      <c r="G71" s="20">
        <v>100</v>
      </c>
      <c r="H71" s="21">
        <v>100</v>
      </c>
      <c r="I71" s="22" t="s">
        <v>19</v>
      </c>
      <c r="J71" s="23" t="s">
        <v>18</v>
      </c>
      <c r="K71" s="24">
        <v>200</v>
      </c>
      <c r="L71" s="22">
        <v>300</v>
      </c>
      <c r="M71" s="25">
        <v>500</v>
      </c>
      <c r="N71" s="25">
        <v>600</v>
      </c>
      <c r="O71" s="25">
        <v>600</v>
      </c>
      <c r="P71" s="25"/>
      <c r="Q71" s="25">
        <v>800</v>
      </c>
      <c r="R71" s="26">
        <v>1800</v>
      </c>
      <c r="S71" s="24">
        <v>25</v>
      </c>
      <c r="T71" s="26">
        <v>10</v>
      </c>
      <c r="U71" s="25">
        <v>480</v>
      </c>
      <c r="V71" s="25">
        <v>480</v>
      </c>
      <c r="W71" s="25">
        <v>600</v>
      </c>
      <c r="X71" s="25"/>
      <c r="Y71" s="25">
        <v>720</v>
      </c>
      <c r="Z71" s="26">
        <v>1800</v>
      </c>
      <c r="AA71" s="25">
        <v>300</v>
      </c>
      <c r="AB71" s="25">
        <v>400</v>
      </c>
      <c r="AC71" s="25">
        <v>600</v>
      </c>
      <c r="AD71" s="25">
        <v>600</v>
      </c>
      <c r="AE71" s="25"/>
      <c r="AF71" s="25">
        <v>800</v>
      </c>
      <c r="AG71" s="26">
        <v>1800</v>
      </c>
    </row>
    <row r="72" spans="1:33" ht="17.100000000000001" customHeight="1">
      <c r="A72" s="27">
        <v>37</v>
      </c>
      <c r="B72" s="17">
        <v>90</v>
      </c>
      <c r="C72" s="18">
        <v>81.5</v>
      </c>
      <c r="D72" s="19">
        <v>84.21</v>
      </c>
      <c r="E72" s="20">
        <v>225</v>
      </c>
      <c r="F72" s="21">
        <v>150</v>
      </c>
      <c r="G72" s="20">
        <v>225</v>
      </c>
      <c r="H72" s="21">
        <v>125</v>
      </c>
      <c r="I72" s="22" t="s">
        <v>19</v>
      </c>
      <c r="J72" s="23" t="s">
        <v>18</v>
      </c>
      <c r="K72" s="24">
        <v>250</v>
      </c>
      <c r="L72" s="22">
        <v>300</v>
      </c>
      <c r="M72" s="25">
        <v>500</v>
      </c>
      <c r="N72" s="25">
        <v>600</v>
      </c>
      <c r="O72" s="25">
        <v>900</v>
      </c>
      <c r="P72" s="25"/>
      <c r="Q72" s="25">
        <v>800</v>
      </c>
      <c r="R72" s="26">
        <v>1800</v>
      </c>
      <c r="S72" s="24">
        <v>50</v>
      </c>
      <c r="T72" s="26">
        <v>10</v>
      </c>
      <c r="U72" s="25">
        <v>480</v>
      </c>
      <c r="V72" s="25">
        <v>480</v>
      </c>
      <c r="W72" s="25">
        <v>720</v>
      </c>
      <c r="X72" s="25"/>
      <c r="Y72" s="25">
        <v>720</v>
      </c>
      <c r="Z72" s="26">
        <v>1800</v>
      </c>
      <c r="AA72" s="25">
        <v>300</v>
      </c>
      <c r="AB72" s="25">
        <v>400</v>
      </c>
      <c r="AC72" s="25">
        <v>600</v>
      </c>
      <c r="AD72" s="25">
        <v>600</v>
      </c>
      <c r="AE72" s="25"/>
      <c r="AF72" s="25">
        <v>800</v>
      </c>
      <c r="AG72" s="26">
        <v>1800</v>
      </c>
    </row>
    <row r="73" spans="1:33" ht="17.100000000000001" customHeight="1">
      <c r="A73" s="27">
        <v>45</v>
      </c>
      <c r="B73" s="17">
        <v>90.5</v>
      </c>
      <c r="C73" s="18">
        <v>82</v>
      </c>
      <c r="D73" s="19">
        <v>100</v>
      </c>
      <c r="E73" s="20">
        <v>225</v>
      </c>
      <c r="F73" s="21">
        <v>200</v>
      </c>
      <c r="G73" s="20">
        <v>225</v>
      </c>
      <c r="H73" s="21">
        <v>150</v>
      </c>
      <c r="I73" s="22" t="s">
        <v>17</v>
      </c>
      <c r="J73" s="23" t="s">
        <v>15</v>
      </c>
      <c r="K73" s="24">
        <v>400</v>
      </c>
      <c r="L73" s="22">
        <v>300</v>
      </c>
      <c r="M73" s="25">
        <v>500</v>
      </c>
      <c r="N73" s="25">
        <v>600</v>
      </c>
      <c r="O73" s="25">
        <v>900</v>
      </c>
      <c r="P73" s="25"/>
      <c r="Q73" s="25">
        <v>800</v>
      </c>
      <c r="R73" s="26">
        <v>1800</v>
      </c>
      <c r="S73" s="24">
        <v>50</v>
      </c>
      <c r="T73" s="26">
        <v>10</v>
      </c>
      <c r="U73" s="25">
        <v>600</v>
      </c>
      <c r="V73" s="25">
        <v>600</v>
      </c>
      <c r="W73" s="25">
        <v>840</v>
      </c>
      <c r="X73" s="25"/>
      <c r="Y73" s="25">
        <v>720</v>
      </c>
      <c r="Z73" s="26">
        <v>1800</v>
      </c>
      <c r="AA73" s="25">
        <v>300</v>
      </c>
      <c r="AB73" s="25">
        <v>600</v>
      </c>
      <c r="AC73" s="25">
        <v>800</v>
      </c>
      <c r="AD73" s="25">
        <v>600</v>
      </c>
      <c r="AE73" s="25"/>
      <c r="AF73" s="25">
        <v>800</v>
      </c>
      <c r="AG73" s="26">
        <v>1800</v>
      </c>
    </row>
    <row r="74" spans="1:33" ht="17.100000000000001" customHeight="1">
      <c r="A74" s="27">
        <v>55</v>
      </c>
      <c r="B74" s="28">
        <v>0.90100000000000002</v>
      </c>
      <c r="C74" s="29">
        <v>0.877</v>
      </c>
      <c r="D74" s="19">
        <v>121</v>
      </c>
      <c r="E74" s="20">
        <v>225</v>
      </c>
      <c r="F74" s="21">
        <v>200</v>
      </c>
      <c r="G74" s="20">
        <v>225</v>
      </c>
      <c r="H74" s="21">
        <v>175</v>
      </c>
      <c r="I74" s="22" t="s">
        <v>16</v>
      </c>
      <c r="J74" s="23" t="s">
        <v>15</v>
      </c>
      <c r="K74" s="24">
        <v>500</v>
      </c>
      <c r="L74" s="22">
        <v>300</v>
      </c>
      <c r="M74" s="25">
        <v>500</v>
      </c>
      <c r="N74" s="25">
        <v>600</v>
      </c>
      <c r="O74" s="25">
        <v>900</v>
      </c>
      <c r="P74" s="25">
        <v>2300</v>
      </c>
      <c r="Q74" s="25">
        <v>800</v>
      </c>
      <c r="R74" s="26">
        <v>1800</v>
      </c>
      <c r="S74" s="24">
        <v>70</v>
      </c>
      <c r="T74" s="26">
        <v>16</v>
      </c>
      <c r="U74" s="25">
        <v>600</v>
      </c>
      <c r="V74" s="25">
        <v>600</v>
      </c>
      <c r="W74" s="25">
        <v>840</v>
      </c>
      <c r="X74" s="25">
        <v>1680</v>
      </c>
      <c r="Y74" s="25">
        <v>720</v>
      </c>
      <c r="Z74" s="26">
        <v>1800</v>
      </c>
      <c r="AA74" s="25">
        <v>300</v>
      </c>
      <c r="AB74" s="25">
        <v>600</v>
      </c>
      <c r="AC74" s="25">
        <v>800</v>
      </c>
      <c r="AD74" s="25">
        <v>600</v>
      </c>
      <c r="AE74" s="25">
        <v>2300</v>
      </c>
      <c r="AF74" s="25">
        <v>800</v>
      </c>
      <c r="AG74" s="26">
        <v>1800</v>
      </c>
    </row>
    <row r="75" spans="1:33" ht="17.100000000000001" customHeight="1">
      <c r="A75" s="27">
        <v>75</v>
      </c>
      <c r="B75" s="28">
        <v>0.90700000000000003</v>
      </c>
      <c r="C75" s="29">
        <v>0.879</v>
      </c>
      <c r="D75" s="19">
        <v>163</v>
      </c>
      <c r="E75" s="20">
        <v>400</v>
      </c>
      <c r="F75" s="21">
        <v>300</v>
      </c>
      <c r="G75" s="20">
        <v>400</v>
      </c>
      <c r="H75" s="21">
        <v>250</v>
      </c>
      <c r="I75" s="22" t="s">
        <v>16</v>
      </c>
      <c r="J75" s="23" t="s">
        <v>15</v>
      </c>
      <c r="K75" s="24">
        <v>650</v>
      </c>
      <c r="L75" s="22">
        <v>400</v>
      </c>
      <c r="M75" s="25">
        <v>700</v>
      </c>
      <c r="N75" s="25">
        <v>600</v>
      </c>
      <c r="O75" s="25">
        <v>1200</v>
      </c>
      <c r="P75" s="25">
        <v>2300</v>
      </c>
      <c r="Q75" s="25">
        <v>1000</v>
      </c>
      <c r="R75" s="26">
        <v>1800</v>
      </c>
      <c r="S75" s="24">
        <v>120</v>
      </c>
      <c r="T75" s="26">
        <v>25</v>
      </c>
      <c r="U75" s="25">
        <v>600</v>
      </c>
      <c r="V75" s="25">
        <v>600</v>
      </c>
      <c r="W75" s="25">
        <v>840</v>
      </c>
      <c r="X75" s="25">
        <v>1680</v>
      </c>
      <c r="Y75" s="25">
        <v>840</v>
      </c>
      <c r="Z75" s="26">
        <v>1800</v>
      </c>
      <c r="AA75" s="25">
        <v>400</v>
      </c>
      <c r="AB75" s="25">
        <v>600</v>
      </c>
      <c r="AC75" s="25">
        <v>800</v>
      </c>
      <c r="AD75" s="25">
        <v>900</v>
      </c>
      <c r="AE75" s="25">
        <v>2300</v>
      </c>
      <c r="AF75" s="25">
        <v>1000</v>
      </c>
      <c r="AG75" s="26">
        <v>1800</v>
      </c>
    </row>
    <row r="76" spans="1:33" ht="16.5" customHeight="1">
      <c r="A76" s="27">
        <v>90</v>
      </c>
      <c r="B76" s="28">
        <v>0.89900000000000002</v>
      </c>
      <c r="C76" s="29">
        <v>0.88</v>
      </c>
      <c r="D76" s="19">
        <v>168</v>
      </c>
      <c r="E76" s="20">
        <v>400</v>
      </c>
      <c r="F76" s="21">
        <v>400</v>
      </c>
      <c r="G76" s="20">
        <v>400</v>
      </c>
      <c r="H76" s="21">
        <v>300</v>
      </c>
      <c r="I76" s="22" t="s">
        <v>14</v>
      </c>
      <c r="J76" s="23" t="s">
        <v>10</v>
      </c>
      <c r="K76" s="24">
        <v>800</v>
      </c>
      <c r="L76" s="22">
        <v>400</v>
      </c>
      <c r="M76" s="25">
        <v>700</v>
      </c>
      <c r="N76" s="25">
        <v>600</v>
      </c>
      <c r="O76" s="25">
        <v>1200</v>
      </c>
      <c r="P76" s="25">
        <v>2300</v>
      </c>
      <c r="Q76" s="25">
        <v>1000</v>
      </c>
      <c r="R76" s="26">
        <v>1800</v>
      </c>
      <c r="S76" s="24">
        <v>150</v>
      </c>
      <c r="T76" s="26">
        <v>25</v>
      </c>
      <c r="U76" s="25">
        <v>600</v>
      </c>
      <c r="V76" s="25">
        <v>600</v>
      </c>
      <c r="W76" s="25">
        <v>840</v>
      </c>
      <c r="X76" s="25">
        <v>1680</v>
      </c>
      <c r="Y76" s="25">
        <v>840</v>
      </c>
      <c r="Z76" s="26">
        <v>1800</v>
      </c>
      <c r="AA76" s="25">
        <v>400</v>
      </c>
      <c r="AB76" s="25"/>
      <c r="AC76" s="25"/>
      <c r="AD76" s="25">
        <v>900</v>
      </c>
      <c r="AE76" s="25">
        <v>2300</v>
      </c>
      <c r="AF76" s="25">
        <v>1000</v>
      </c>
      <c r="AG76" s="26">
        <v>1800</v>
      </c>
    </row>
    <row r="77" spans="1:33" ht="17.100000000000001" customHeight="1">
      <c r="A77" s="27">
        <v>110</v>
      </c>
      <c r="B77" s="30">
        <v>0.91700000000000004</v>
      </c>
      <c r="C77" s="31">
        <v>0.88100000000000001</v>
      </c>
      <c r="D77" s="19">
        <v>203</v>
      </c>
      <c r="E77" s="20">
        <v>600</v>
      </c>
      <c r="F77" s="21">
        <v>500</v>
      </c>
      <c r="G77" s="20">
        <v>400</v>
      </c>
      <c r="H77" s="21">
        <v>350</v>
      </c>
      <c r="I77" s="22" t="s">
        <v>13</v>
      </c>
      <c r="J77" s="23" t="s">
        <v>10</v>
      </c>
      <c r="K77" s="24">
        <v>1000</v>
      </c>
      <c r="L77" s="22">
        <v>400</v>
      </c>
      <c r="M77" s="25">
        <v>700</v>
      </c>
      <c r="N77" s="25">
        <v>700</v>
      </c>
      <c r="O77" s="25">
        <v>1400</v>
      </c>
      <c r="P77" s="25">
        <v>2300</v>
      </c>
      <c r="Q77" s="25">
        <v>1200</v>
      </c>
      <c r="R77" s="26">
        <v>1800</v>
      </c>
      <c r="S77" s="24">
        <v>240</v>
      </c>
      <c r="T77" s="26">
        <v>50</v>
      </c>
      <c r="U77" s="25">
        <v>600</v>
      </c>
      <c r="V77" s="25">
        <v>600</v>
      </c>
      <c r="W77" s="25">
        <v>840</v>
      </c>
      <c r="X77" s="25">
        <v>1680</v>
      </c>
      <c r="Y77" s="25">
        <v>960</v>
      </c>
      <c r="Z77" s="26">
        <v>1800</v>
      </c>
      <c r="AA77" s="25">
        <v>400</v>
      </c>
      <c r="AB77" s="25"/>
      <c r="AC77" s="25"/>
      <c r="AD77" s="25">
        <v>1200</v>
      </c>
      <c r="AE77" s="25">
        <v>2300</v>
      </c>
      <c r="AF77" s="25">
        <v>1200</v>
      </c>
      <c r="AG77" s="26">
        <v>1800</v>
      </c>
    </row>
    <row r="78" spans="1:33" ht="17.100000000000001" customHeight="1">
      <c r="A78" s="27">
        <v>132</v>
      </c>
      <c r="B78" s="30">
        <v>0.93</v>
      </c>
      <c r="C78" s="31">
        <v>0.89500000000000002</v>
      </c>
      <c r="D78" s="19">
        <v>244</v>
      </c>
      <c r="E78" s="20">
        <v>600</v>
      </c>
      <c r="F78" s="21">
        <v>500</v>
      </c>
      <c r="G78" s="20">
        <v>400</v>
      </c>
      <c r="H78" s="21">
        <v>400</v>
      </c>
      <c r="I78" s="22" t="s">
        <v>12</v>
      </c>
      <c r="J78" s="23" t="s">
        <v>10</v>
      </c>
      <c r="K78" s="24">
        <v>1100</v>
      </c>
      <c r="L78" s="22">
        <v>800</v>
      </c>
      <c r="M78" s="25">
        <v>1000</v>
      </c>
      <c r="N78" s="25">
        <v>1000</v>
      </c>
      <c r="O78" s="25">
        <v>1400</v>
      </c>
      <c r="P78" s="25">
        <v>2300</v>
      </c>
      <c r="Q78" s="25">
        <v>1200</v>
      </c>
      <c r="R78" s="26"/>
      <c r="S78" s="24">
        <v>300</v>
      </c>
      <c r="T78" s="26">
        <v>50</v>
      </c>
      <c r="U78" s="25"/>
      <c r="V78" s="25"/>
      <c r="W78" s="25">
        <v>840</v>
      </c>
      <c r="X78" s="25">
        <v>1680</v>
      </c>
      <c r="Y78" s="25">
        <v>960</v>
      </c>
      <c r="Z78" s="26"/>
      <c r="AA78" s="25">
        <v>800</v>
      </c>
      <c r="AB78" s="25"/>
      <c r="AC78" s="25"/>
      <c r="AD78" s="25">
        <v>1200</v>
      </c>
      <c r="AE78" s="25">
        <v>2300</v>
      </c>
      <c r="AF78" s="25">
        <v>1200</v>
      </c>
      <c r="AG78" s="26"/>
    </row>
    <row r="79" spans="1:33" ht="17.100000000000001" customHeight="1">
      <c r="A79" s="27">
        <v>150</v>
      </c>
      <c r="B79" s="17"/>
      <c r="C79" s="18"/>
      <c r="D79" s="19">
        <v>273</v>
      </c>
      <c r="E79" s="20">
        <v>600</v>
      </c>
      <c r="F79" s="21">
        <v>600</v>
      </c>
      <c r="G79" s="20">
        <v>600</v>
      </c>
      <c r="H79" s="21">
        <v>500</v>
      </c>
      <c r="I79" s="22" t="s">
        <v>11</v>
      </c>
      <c r="J79" s="23" t="s">
        <v>10</v>
      </c>
      <c r="K79" s="24">
        <v>1200</v>
      </c>
      <c r="L79" s="22">
        <v>800</v>
      </c>
      <c r="M79" s="25">
        <v>1200</v>
      </c>
      <c r="N79" s="25">
        <v>1200</v>
      </c>
      <c r="O79" s="25"/>
      <c r="P79" s="25">
        <v>2300</v>
      </c>
      <c r="Q79" s="25">
        <v>1200</v>
      </c>
      <c r="R79" s="26"/>
      <c r="S79" s="24">
        <v>400</v>
      </c>
      <c r="T79" s="26">
        <v>70</v>
      </c>
      <c r="U79" s="25"/>
      <c r="V79" s="25"/>
      <c r="W79" s="25"/>
      <c r="X79" s="25">
        <v>1680</v>
      </c>
      <c r="Y79" s="25">
        <v>960</v>
      </c>
      <c r="Z79" s="26"/>
      <c r="AA79" s="25">
        <v>800</v>
      </c>
      <c r="AB79" s="25"/>
      <c r="AC79" s="25"/>
      <c r="AD79" s="25">
        <v>1200</v>
      </c>
      <c r="AE79" s="25">
        <v>2300</v>
      </c>
      <c r="AF79" s="25">
        <v>1200</v>
      </c>
      <c r="AG79" s="26"/>
    </row>
    <row r="80" spans="1:33" ht="17.100000000000001" customHeight="1">
      <c r="A80" s="32">
        <v>262</v>
      </c>
      <c r="B80" s="33"/>
      <c r="C80" s="34"/>
      <c r="D80" s="35">
        <v>526.84</v>
      </c>
      <c r="E80" s="36"/>
      <c r="F80" s="37"/>
      <c r="G80" s="36"/>
      <c r="H80" s="37"/>
      <c r="I80" s="38"/>
      <c r="J80" s="39"/>
      <c r="K80" s="40"/>
      <c r="L80" s="38">
        <v>800</v>
      </c>
      <c r="M80" s="41">
        <v>1200</v>
      </c>
      <c r="N80" s="41">
        <v>1200</v>
      </c>
      <c r="O80" s="41"/>
      <c r="P80" s="41">
        <v>2300</v>
      </c>
      <c r="Q80" s="41">
        <v>1200</v>
      </c>
      <c r="R80" s="42"/>
      <c r="S80" s="40">
        <v>400</v>
      </c>
      <c r="T80" s="42">
        <v>70</v>
      </c>
      <c r="U80" s="41"/>
      <c r="V80" s="41"/>
      <c r="W80" s="41"/>
      <c r="X80" s="41">
        <v>1680</v>
      </c>
      <c r="Y80" s="41">
        <v>960</v>
      </c>
      <c r="Z80" s="42"/>
      <c r="AA80" s="41">
        <v>800</v>
      </c>
      <c r="AB80" s="41"/>
      <c r="AC80" s="41"/>
      <c r="AD80" s="41"/>
      <c r="AE80" s="41">
        <v>2300</v>
      </c>
      <c r="AF80" s="41">
        <v>1200</v>
      </c>
      <c r="AG80" s="42"/>
    </row>
    <row r="81" spans="1:33" ht="17.100000000000001" customHeight="1">
      <c r="A81" s="43"/>
      <c r="B81" s="44"/>
      <c r="C81" s="44"/>
      <c r="D81" s="4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7.100000000000001" customHeight="1">
      <c r="A82" s="43"/>
      <c r="B82" s="44"/>
      <c r="C82" s="44"/>
      <c r="D82" s="4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7.100000000000001" customHeight="1">
      <c r="A83" s="43"/>
      <c r="B83" s="44"/>
      <c r="C83" s="44"/>
      <c r="D83" s="4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</sheetData>
  <mergeCells count="5">
    <mergeCell ref="E3:F3"/>
    <mergeCell ref="D3:D4"/>
    <mergeCell ref="C3:C4"/>
    <mergeCell ref="B3:B4"/>
    <mergeCell ref="A3:A4"/>
  </mergeCells>
  <phoneticPr fontId="4" type="noConversion"/>
  <pageMargins left="0.74803149606299213" right="0.74803149606299213" top="0.98425196850393704" bottom="0.98425196850393704" header="0.51181102362204722" footer="0.51181102362204722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21</vt:i4>
      </vt:variant>
    </vt:vector>
  </HeadingPairs>
  <TitlesOfParts>
    <vt:vector size="29" baseType="lpstr">
      <vt:lpstr>cable_spec</vt:lpstr>
      <vt:lpstr>conduit_spec</vt:lpstr>
      <vt:lpstr>permit_current</vt:lpstr>
      <vt:lpstr>cable_imp</vt:lpstr>
      <vt:lpstr>동작배율</vt:lpstr>
      <vt:lpstr>moter</vt:lpstr>
      <vt:lpstr>MCCB</vt:lpstr>
      <vt:lpstr>MCC</vt:lpstr>
      <vt:lpstr>CAB_SPEC</vt:lpstr>
      <vt:lpstr>CD</vt:lpstr>
      <vt:lpstr>CD_A</vt:lpstr>
      <vt:lpstr>DAT</vt:lpstr>
      <vt:lpstr>data</vt:lpstr>
      <vt:lpstr>ELP</vt:lpstr>
      <vt:lpstr>ELP_A</vt:lpstr>
      <vt:lpstr>FLEX</vt:lpstr>
      <vt:lpstr>FLEX_A</vt:lpstr>
      <vt:lpstr>HI</vt:lpstr>
      <vt:lpstr>HI_A</vt:lpstr>
      <vt:lpstr>IEC간선</vt:lpstr>
      <vt:lpstr>PE</vt:lpstr>
      <vt:lpstr>PE_A</vt:lpstr>
      <vt:lpstr>cable_spec!Print_Area</vt:lpstr>
      <vt:lpstr>conduit_spec!Print_Area</vt:lpstr>
      <vt:lpstr>permit_current!Print_Area</vt:lpstr>
      <vt:lpstr>ST</vt:lpstr>
      <vt:lpstr>ST_A</vt:lpstr>
      <vt:lpstr>전선관내단면적</vt:lpstr>
      <vt:lpstr>전선관종류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윤태석</dc:creator>
  <cp:lastModifiedBy>Administrator</cp:lastModifiedBy>
  <cp:lastPrinted>2026-05-19T23:33:20Z</cp:lastPrinted>
  <dcterms:created xsi:type="dcterms:W3CDTF">2017-06-23T00:56:17Z</dcterms:created>
  <dcterms:modified xsi:type="dcterms:W3CDTF">2026-06-17T06:08:45Z</dcterms:modified>
</cp:coreProperties>
</file>